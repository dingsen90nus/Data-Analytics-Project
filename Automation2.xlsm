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IMFS\Temp\MSP\MSP Inventory Assessment Automate\Update 08.08.2017\"/>
    </mc:Choice>
  </mc:AlternateContent>
  <bookViews>
    <workbookView xWindow="0" yWindow="120" windowWidth="19440" windowHeight="12090"/>
  </bookViews>
  <sheets>
    <sheet name="Sheet1" sheetId="1" r:id="rId1"/>
  </sheets>
  <externalReferences>
    <externalReference r:id="rId2"/>
    <externalReference r:id="rId3"/>
  </externalReferenc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9" i="1" l="1"/>
  <c r="H10" i="1"/>
  <c r="H5" i="1" l="1"/>
  <c r="H4" i="1" l="1"/>
  <c r="BH7" i="1" l="1"/>
  <c r="BH8" i="1"/>
  <c r="H6" i="1" l="1"/>
  <c r="H7" i="1" s="1"/>
  <c r="I6" i="1" l="1"/>
  <c r="J6" i="1" s="1"/>
  <c r="H8" i="1"/>
  <c r="I7" i="1" l="1"/>
  <c r="I8" i="1"/>
  <c r="J8" i="1" l="1"/>
  <c r="J7" i="1"/>
  <c r="K6" i="1"/>
  <c r="K8" i="1" l="1"/>
  <c r="K7" i="1"/>
  <c r="L6" i="1"/>
  <c r="C15" i="1"/>
  <c r="L8" i="1" l="1"/>
  <c r="L7" i="1"/>
  <c r="M6" i="1"/>
  <c r="M8" i="1" l="1"/>
  <c r="M7" i="1"/>
  <c r="N6" i="1"/>
  <c r="O6" i="1" s="1"/>
  <c r="C17" i="1"/>
  <c r="O8" i="1" l="1"/>
  <c r="O7" i="1"/>
  <c r="N8" i="1"/>
  <c r="N7" i="1"/>
  <c r="P6" i="1"/>
  <c r="C9" i="1"/>
  <c r="P8" i="1" l="1"/>
  <c r="P7" i="1"/>
  <c r="Q6" i="1"/>
  <c r="Q8" i="1" l="1"/>
  <c r="Q7" i="1"/>
  <c r="R6" i="1"/>
  <c r="R8" i="1" l="1"/>
  <c r="R7" i="1"/>
  <c r="S6" i="1"/>
  <c r="S8" i="1" l="1"/>
  <c r="S7" i="1"/>
  <c r="T6" i="1"/>
  <c r="T8" i="1" l="1"/>
  <c r="T7" i="1"/>
  <c r="U6" i="1"/>
  <c r="U8" i="1" l="1"/>
  <c r="U7" i="1"/>
  <c r="V6" i="1"/>
  <c r="V8" i="1" l="1"/>
  <c r="V7" i="1"/>
  <c r="W6" i="1"/>
  <c r="W8" i="1" l="1"/>
  <c r="W7" i="1"/>
  <c r="X6" i="1"/>
  <c r="X8" i="1" l="1"/>
  <c r="X7" i="1"/>
  <c r="Y6" i="1"/>
  <c r="Y8" i="1" l="1"/>
  <c r="Y7" i="1"/>
  <c r="Z6" i="1"/>
  <c r="Z8" i="1" l="1"/>
  <c r="Z7" i="1"/>
  <c r="AA6" i="1"/>
  <c r="AA8" i="1" l="1"/>
  <c r="AA7" i="1"/>
  <c r="AB6" i="1"/>
  <c r="AB8" i="1" l="1"/>
  <c r="AB7" i="1"/>
  <c r="AC6" i="1"/>
  <c r="AC8" i="1" l="1"/>
  <c r="AC7" i="1"/>
  <c r="AD6" i="1"/>
  <c r="AD8" i="1" l="1"/>
  <c r="AD7" i="1"/>
  <c r="AE6" i="1"/>
  <c r="AE8" i="1" l="1"/>
  <c r="AE7" i="1"/>
  <c r="AF6" i="1"/>
  <c r="AF8" i="1" l="1"/>
  <c r="AF7" i="1"/>
  <c r="AG6" i="1"/>
  <c r="AG8" i="1" l="1"/>
  <c r="AG7" i="1"/>
  <c r="AH6" i="1"/>
  <c r="AH8" i="1" l="1"/>
  <c r="AH7" i="1"/>
  <c r="AI6" i="1"/>
  <c r="AI8" i="1" l="1"/>
  <c r="AI7" i="1"/>
  <c r="AJ6" i="1"/>
  <c r="AJ8" i="1" l="1"/>
  <c r="AJ7" i="1"/>
  <c r="AK6" i="1"/>
  <c r="AK8" i="1" l="1"/>
  <c r="AK7" i="1"/>
  <c r="AL6" i="1"/>
  <c r="AL8" i="1" l="1"/>
  <c r="AL7" i="1"/>
  <c r="AM6" i="1"/>
  <c r="AM8" i="1" l="1"/>
  <c r="AM7" i="1"/>
  <c r="AN6" i="1"/>
  <c r="AN8" i="1" l="1"/>
  <c r="AN7" i="1"/>
  <c r="AO6" i="1"/>
  <c r="AO8" i="1" l="1"/>
  <c r="AO7" i="1"/>
  <c r="AP6" i="1"/>
  <c r="AP8" i="1" l="1"/>
  <c r="AP7" i="1"/>
  <c r="AQ6" i="1"/>
  <c r="AQ8" i="1" l="1"/>
  <c r="AQ7" i="1"/>
  <c r="AR6" i="1"/>
  <c r="AR8" i="1" l="1"/>
  <c r="AR7" i="1"/>
  <c r="AS6" i="1"/>
  <c r="AS8" i="1" l="1"/>
  <c r="AS7" i="1"/>
  <c r="AT6" i="1"/>
  <c r="AT8" i="1" l="1"/>
  <c r="AT7" i="1"/>
  <c r="AU6" i="1"/>
  <c r="AU8" i="1" l="1"/>
  <c r="AU7" i="1"/>
  <c r="AV6" i="1"/>
  <c r="AV8" i="1" l="1"/>
  <c r="AV7" i="1"/>
  <c r="AW6" i="1"/>
  <c r="AW8" i="1" l="1"/>
  <c r="AW7" i="1"/>
  <c r="AX6" i="1"/>
  <c r="AX8" i="1" l="1"/>
  <c r="AX7" i="1"/>
  <c r="AY6" i="1"/>
  <c r="AY8" i="1" l="1"/>
  <c r="AY7" i="1"/>
  <c r="AZ6" i="1"/>
  <c r="AZ8" i="1" l="1"/>
  <c r="AZ7" i="1"/>
  <c r="BA6" i="1"/>
  <c r="BA8" i="1" l="1"/>
  <c r="BA7" i="1"/>
  <c r="BB6" i="1"/>
  <c r="BB8" i="1" l="1"/>
  <c r="BB7" i="1"/>
  <c r="BC6" i="1"/>
  <c r="BC8" i="1" l="1"/>
  <c r="BC7" i="1"/>
  <c r="BD6" i="1"/>
  <c r="BD8" i="1" l="1"/>
  <c r="BD7" i="1"/>
  <c r="BE6" i="1"/>
  <c r="BE8" i="1" l="1"/>
  <c r="BE7" i="1"/>
  <c r="BF6" i="1"/>
  <c r="BF8" i="1" l="1"/>
  <c r="BF7" i="1"/>
  <c r="BG6" i="1"/>
  <c r="BG7" i="1" s="1"/>
  <c r="BG8" i="1" l="1"/>
  <c r="AK5" i="1"/>
  <c r="AT5" i="1"/>
  <c r="Z5" i="1"/>
  <c r="O5" i="1"/>
  <c r="AE5" i="1"/>
  <c r="AU5" i="1"/>
  <c r="L5" i="1"/>
  <c r="AB5" i="1"/>
  <c r="AR5" i="1"/>
  <c r="BH5" i="1"/>
  <c r="Y5" i="1"/>
  <c r="AS5" i="1"/>
  <c r="AD5" i="1"/>
  <c r="R5" i="1"/>
  <c r="BF5" i="1"/>
  <c r="AL5" i="1"/>
  <c r="S5" i="1"/>
  <c r="AI5" i="1"/>
  <c r="AY5" i="1"/>
  <c r="P5" i="1"/>
  <c r="AF5" i="1"/>
  <c r="AV5" i="1"/>
  <c r="M5" i="1"/>
  <c r="AC5" i="1"/>
  <c r="AW5" i="1"/>
  <c r="AP5" i="1"/>
  <c r="V5" i="1"/>
  <c r="J5" i="1"/>
  <c r="AX5" i="1"/>
  <c r="W5" i="1"/>
  <c r="AM5" i="1"/>
  <c r="BC5" i="1"/>
  <c r="T5" i="1"/>
  <c r="AJ5" i="1"/>
  <c r="AZ5" i="1"/>
  <c r="Q5" i="1"/>
  <c r="AG5" i="1"/>
  <c r="BA5" i="1"/>
  <c r="BB5" i="1"/>
  <c r="AH5" i="1"/>
  <c r="N5" i="1"/>
  <c r="K5" i="1"/>
  <c r="AA5" i="1"/>
  <c r="AQ5" i="1"/>
  <c r="BG5" i="1"/>
  <c r="X5" i="1"/>
  <c r="AN5" i="1"/>
  <c r="BD5" i="1"/>
  <c r="U5" i="1"/>
  <c r="AO5" i="1"/>
  <c r="I5" i="1"/>
  <c r="BE5" i="1"/>
  <c r="AQ4" i="1" l="1"/>
  <c r="P4" i="1"/>
  <c r="AJ4" i="1"/>
  <c r="U4" i="1"/>
  <c r="Y4" i="1"/>
  <c r="AG4" i="1"/>
  <c r="AL4" i="1"/>
  <c r="AB4" i="1"/>
  <c r="AD4" i="1"/>
  <c r="AT4" i="1"/>
  <c r="R4" i="1"/>
  <c r="BB4" i="1"/>
  <c r="BF4" i="1"/>
  <c r="M4" i="1"/>
  <c r="AW4" i="1"/>
  <c r="AU4" i="1"/>
  <c r="BC4" i="1"/>
  <c r="BD4" i="1"/>
  <c r="X4" i="1"/>
  <c r="AO4" i="1"/>
  <c r="T4" i="1"/>
  <c r="W4" i="1"/>
  <c r="AY4" i="1"/>
  <c r="AN4" i="1"/>
  <c r="AR4" i="1"/>
  <c r="AE4" i="1"/>
  <c r="V4" i="1"/>
  <c r="AV4" i="1"/>
  <c r="BE4" i="1"/>
  <c r="AC4" i="1"/>
  <c r="AH4" i="1"/>
  <c r="J4" i="1"/>
  <c r="Z4" i="1"/>
  <c r="AF4" i="1"/>
  <c r="BH4" i="1"/>
  <c r="AK4" i="1"/>
  <c r="AA4" i="1"/>
  <c r="O4" i="1"/>
  <c r="Q4" i="1"/>
  <c r="BA4" i="1"/>
  <c r="AI4" i="1"/>
  <c r="AX4" i="1"/>
  <c r="BG4" i="1"/>
  <c r="L4" i="1"/>
  <c r="AS4" i="1"/>
  <c r="AZ4" i="1"/>
  <c r="AP4" i="1"/>
  <c r="I4" i="1"/>
  <c r="S4" i="1"/>
  <c r="K4" i="1"/>
  <c r="AM4" i="1"/>
  <c r="N4" i="1"/>
</calcChain>
</file>

<file path=xl/sharedStrings.xml><?xml version="1.0" encoding="utf-8"?>
<sst xmlns="http://schemas.openxmlformats.org/spreadsheetml/2006/main" count="87" uniqueCount="58">
  <si>
    <t>Forecast</t>
  </si>
  <si>
    <t>WTD used</t>
  </si>
  <si>
    <t>Part No.</t>
  </si>
  <si>
    <t>WW</t>
  </si>
  <si>
    <t>Year</t>
  </si>
  <si>
    <t>Inputs</t>
  </si>
  <si>
    <t>Fab</t>
  </si>
  <si>
    <t>F10N</t>
  </si>
  <si>
    <t>F10W</t>
  </si>
  <si>
    <t>Lead Time (days)</t>
  </si>
  <si>
    <t>yearWW</t>
  </si>
  <si>
    <t>Forecast Adjustment Use</t>
  </si>
  <si>
    <t>Yes</t>
  </si>
  <si>
    <t>No</t>
  </si>
  <si>
    <t>maxWW</t>
  </si>
  <si>
    <t>WW1 starting date</t>
  </si>
  <si>
    <t>Forecast Adjustment Factor</t>
  </si>
  <si>
    <t>Checklist Legend</t>
  </si>
  <si>
    <t>Good</t>
  </si>
  <si>
    <t>Violated</t>
  </si>
  <si>
    <t>Number of Batches_Inventory</t>
  </si>
  <si>
    <t>Number of Batches_New Shipment</t>
  </si>
  <si>
    <t>Number of Batches_New Shipment_Unique</t>
  </si>
  <si>
    <t>ETA</t>
  </si>
  <si>
    <t>WTD GR</t>
  </si>
  <si>
    <t>Inventory</t>
  </si>
  <si>
    <t>New Shipment</t>
  </si>
  <si>
    <t>minimum qty check</t>
  </si>
  <si>
    <t>Batch Type Legend</t>
  </si>
  <si>
    <t>FileName</t>
  </si>
  <si>
    <t>Forecast Sheet Name</t>
  </si>
  <si>
    <t>WTD Used Sheet Name</t>
  </si>
  <si>
    <t>WTD GR Sheet name</t>
  </si>
  <si>
    <t>QOH Sheet name</t>
  </si>
  <si>
    <t>Forecast Adjustment Factor Sheet Name</t>
  </si>
  <si>
    <t>File Name</t>
  </si>
  <si>
    <t>Vendor Data Sheet Name</t>
  </si>
  <si>
    <t>WTD Used</t>
  </si>
  <si>
    <t>QOH</t>
  </si>
  <si>
    <t>Fcst Adjustment Factor-Tableau</t>
  </si>
  <si>
    <t>Golden File info</t>
  </si>
  <si>
    <t>Vendor File info</t>
  </si>
  <si>
    <t>For working (Do not change)</t>
  </si>
  <si>
    <t>160-01047</t>
  </si>
  <si>
    <t>Sheet1</t>
  </si>
  <si>
    <t>Batch Number</t>
  </si>
  <si>
    <t>7A1002S</t>
  </si>
  <si>
    <t>7E1196S</t>
  </si>
  <si>
    <t>77E1196S</t>
  </si>
  <si>
    <t>Expiry Date</t>
  </si>
  <si>
    <t>Expiry Date Check</t>
  </si>
  <si>
    <t>Onsite Inventory</t>
  </si>
  <si>
    <t>Vendor Inventory</t>
  </si>
  <si>
    <t>Balance</t>
  </si>
  <si>
    <t>Batch1</t>
  </si>
  <si>
    <t>Batch2</t>
  </si>
  <si>
    <t>ExpiryDate</t>
  </si>
  <si>
    <t>Total Balance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</si>
</sst>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mmm\-yy;@"/>
    <numFmt numFmtId="165" formatCode="m/d/yyyy;@"/>
  </numFmts>
  <fonts count="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88">
    <xf numFmtId="0" fontId="0" fillId="0" borderId="0" xfId="0"/>
    <xf numFmtId="164" fontId="0" fillId="0" borderId="0" xfId="0" applyNumberFormat="1"/>
    <xf numFmtId="0" fontId="0" fillId="0" borderId="5" xfId="0" applyBorder="1"/>
    <xf numFmtId="0" fontId="0" fillId="0" borderId="0" xfId="0" applyBorder="1" applyAlignment="1">
      <alignment horizontal="right"/>
    </xf>
    <xf numFmtId="14" fontId="0" fillId="0" borderId="0" xfId="0" applyNumberFormat="1"/>
    <xf numFmtId="0" fontId="3" fillId="0" borderId="0" xfId="0" applyFont="1"/>
    <xf numFmtId="0" fontId="0" fillId="0" borderId="0" xfId="0" applyNumberFormat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1" fillId="0" borderId="6" xfId="1" applyFill="1" applyBorder="1"/>
    <xf numFmtId="0" fontId="1" fillId="0" borderId="13" xfId="1" applyFill="1" applyBorder="1"/>
    <xf numFmtId="0" fontId="1" fillId="0" borderId="7" xfId="1" applyFill="1" applyBorder="1"/>
    <xf numFmtId="0" fontId="0" fillId="0" borderId="2" xfId="0" applyBorder="1"/>
    <xf numFmtId="164" fontId="4" fillId="4" borderId="14" xfId="0" applyNumberFormat="1" applyFont="1" applyFill="1" applyBorder="1" applyAlignment="1">
      <alignment horizontal="center"/>
    </xf>
    <xf numFmtId="164" fontId="4" fillId="4" borderId="1" xfId="0" applyNumberFormat="1" applyFont="1" applyFill="1" applyBorder="1" applyAlignment="1">
      <alignment horizontal="center"/>
    </xf>
    <xf numFmtId="164" fontId="4" fillId="4" borderId="2" xfId="0" applyNumberFormat="1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11" fontId="2" fillId="5" borderId="3" xfId="0" applyNumberFormat="1" applyFont="1" applyFill="1" applyBorder="1" applyAlignment="1">
      <alignment horizontal="right"/>
    </xf>
    <xf numFmtId="0" fontId="0" fillId="0" borderId="5" xfId="0" applyNumberFormat="1" applyBorder="1"/>
    <xf numFmtId="0" fontId="2" fillId="6" borderId="6" xfId="0" applyFont="1" applyFill="1" applyBorder="1" applyAlignment="1">
      <alignment horizontal="right"/>
    </xf>
    <xf numFmtId="0" fontId="0" fillId="0" borderId="7" xfId="0" applyNumberFormat="1" applyBorder="1"/>
    <xf numFmtId="0" fontId="0" fillId="0" borderId="14" xfId="0" applyBorder="1" applyAlignment="1">
      <alignment horizontal="center"/>
    </xf>
    <xf numFmtId="0" fontId="0" fillId="0" borderId="17" xfId="0" applyBorder="1" applyAlignment="1">
      <alignment horizontal="center"/>
    </xf>
    <xf numFmtId="0" fontId="2" fillId="3" borderId="9" xfId="0" applyFont="1" applyFill="1" applyBorder="1" applyAlignment="1">
      <alignment horizontal="right"/>
    </xf>
    <xf numFmtId="0" fontId="2" fillId="7" borderId="15" xfId="0" applyFont="1" applyFill="1" applyBorder="1" applyAlignment="1">
      <alignment horizontal="right"/>
    </xf>
    <xf numFmtId="0" fontId="2" fillId="4" borderId="20" xfId="0" applyFont="1" applyFill="1" applyBorder="1" applyAlignment="1">
      <alignment horizontal="right"/>
    </xf>
    <xf numFmtId="0" fontId="2" fillId="4" borderId="18" xfId="0" applyFont="1" applyFill="1" applyBorder="1" applyAlignment="1">
      <alignment horizontal="right"/>
    </xf>
    <xf numFmtId="0" fontId="0" fillId="2" borderId="19" xfId="0" applyFill="1" applyBorder="1"/>
    <xf numFmtId="0" fontId="2" fillId="7" borderId="16" xfId="0" applyFont="1" applyFill="1" applyBorder="1" applyAlignment="1">
      <alignment horizontal="right"/>
    </xf>
    <xf numFmtId="0" fontId="0" fillId="0" borderId="21" xfId="0" applyBorder="1" applyAlignment="1">
      <alignment horizontal="center"/>
    </xf>
    <xf numFmtId="0" fontId="0" fillId="0" borderId="22" xfId="0" applyBorder="1"/>
    <xf numFmtId="0" fontId="0" fillId="0" borderId="25" xfId="0" applyBorder="1"/>
    <xf numFmtId="0" fontId="0" fillId="0" borderId="27" xfId="0" applyBorder="1" applyAlignment="1">
      <alignment horizontal="right"/>
    </xf>
    <xf numFmtId="0" fontId="0" fillId="0" borderId="28" xfId="0" applyBorder="1" applyAlignment="1">
      <alignment horizontal="right"/>
    </xf>
    <xf numFmtId="0" fontId="0" fillId="0" borderId="29" xfId="0" applyBorder="1" applyAlignment="1">
      <alignment horizontal="right"/>
    </xf>
    <xf numFmtId="165" fontId="0" fillId="0" borderId="28" xfId="0" applyNumberFormat="1" applyBorder="1" applyAlignment="1">
      <alignment horizontal="right"/>
    </xf>
    <xf numFmtId="0" fontId="0" fillId="0" borderId="30" xfId="0" applyBorder="1" applyAlignment="1">
      <alignment horizontal="right"/>
    </xf>
    <xf numFmtId="0" fontId="0" fillId="0" borderId="27" xfId="0" applyBorder="1"/>
    <xf numFmtId="0" fontId="0" fillId="0" borderId="28" xfId="0" applyBorder="1"/>
    <xf numFmtId="0" fontId="0" fillId="0" borderId="30" xfId="0" applyBorder="1"/>
    <xf numFmtId="0" fontId="0" fillId="0" borderId="30" xfId="0" applyFill="1" applyBorder="1"/>
    <xf numFmtId="0" fontId="0" fillId="0" borderId="28" xfId="0" applyNumberFormat="1" applyBorder="1"/>
    <xf numFmtId="9" fontId="0" fillId="0" borderId="30" xfId="0" applyNumberFormat="1" applyBorder="1"/>
    <xf numFmtId="0" fontId="2" fillId="2" borderId="19" xfId="0" applyFont="1" applyFill="1" applyBorder="1"/>
    <xf numFmtId="0" fontId="2" fillId="2" borderId="23" xfId="0" applyFont="1" applyFill="1" applyBorder="1"/>
    <xf numFmtId="0" fontId="2" fillId="2" borderId="24" xfId="0" applyFont="1" applyFill="1" applyBorder="1"/>
    <xf numFmtId="0" fontId="2" fillId="8" borderId="19" xfId="0" applyFont="1" applyFill="1" applyBorder="1"/>
    <xf numFmtId="0" fontId="2" fillId="8" borderId="23" xfId="0" applyFont="1" applyFill="1" applyBorder="1"/>
    <xf numFmtId="0" fontId="2" fillId="8" borderId="24" xfId="0" applyFont="1" applyFill="1" applyBorder="1"/>
    <xf numFmtId="0" fontId="2" fillId="4" borderId="19" xfId="0" applyFont="1" applyFill="1" applyBorder="1"/>
    <xf numFmtId="0" fontId="2" fillId="4" borderId="23" xfId="0" applyFont="1" applyFill="1" applyBorder="1"/>
    <xf numFmtId="0" fontId="2" fillId="4" borderId="24" xfId="0" applyFont="1" applyFill="1" applyBorder="1"/>
    <xf numFmtId="0" fontId="0" fillId="0" borderId="34" xfId="0" applyBorder="1"/>
    <xf numFmtId="0" fontId="0" fillId="0" borderId="33" xfId="0" applyBorder="1"/>
    <xf numFmtId="0" fontId="0" fillId="0" borderId="1" xfId="0" applyBorder="1"/>
    <xf numFmtId="0" fontId="0" fillId="0" borderId="36" xfId="0" applyBorder="1"/>
    <xf numFmtId="0" fontId="0" fillId="0" borderId="37" xfId="0" applyBorder="1"/>
    <xf numFmtId="0" fontId="2" fillId="6" borderId="19" xfId="0" applyFont="1" applyFill="1" applyBorder="1" applyAlignment="1">
      <alignment horizontal="right"/>
    </xf>
    <xf numFmtId="0" fontId="2" fillId="6" borderId="23" xfId="0" applyFont="1" applyFill="1" applyBorder="1" applyAlignment="1">
      <alignment horizontal="right"/>
    </xf>
    <xf numFmtId="0" fontId="0" fillId="0" borderId="20" xfId="0" applyBorder="1"/>
    <xf numFmtId="0" fontId="0" fillId="0" borderId="40" xfId="0" applyBorder="1" applyAlignment="1">
      <alignment horizontal="center"/>
    </xf>
    <xf numFmtId="0" fontId="2" fillId="4" borderId="19" xfId="0" applyFont="1" applyFill="1" applyBorder="1" applyAlignment="1">
      <alignment horizontal="right"/>
    </xf>
    <xf numFmtId="0" fontId="2" fillId="4" borderId="23" xfId="0" applyFont="1" applyFill="1" applyBorder="1" applyAlignment="1">
      <alignment horizontal="right"/>
    </xf>
    <xf numFmtId="14" fontId="0" fillId="0" borderId="39" xfId="0" applyNumberFormat="1" applyBorder="1"/>
    <xf numFmtId="0" fontId="2" fillId="6" borderId="21" xfId="0" applyFont="1" applyFill="1" applyBorder="1" applyAlignment="1">
      <alignment horizontal="right"/>
    </xf>
    <xf numFmtId="0" fontId="0" fillId="0" borderId="18" xfId="0" applyBorder="1" applyAlignment="1">
      <alignment horizontal="center"/>
    </xf>
    <xf numFmtId="0" fontId="2" fillId="4" borderId="21" xfId="0" applyFont="1" applyFill="1" applyBorder="1" applyAlignment="1">
      <alignment horizontal="right"/>
    </xf>
    <xf numFmtId="11" fontId="0" fillId="0" borderId="20" xfId="0" applyNumberFormat="1" applyBorder="1"/>
    <xf numFmtId="16" fontId="2" fillId="5" borderId="19" xfId="0" applyNumberFormat="1" applyFont="1" applyFill="1" applyBorder="1" applyAlignment="1">
      <alignment horizontal="right"/>
    </xf>
    <xf numFmtId="16" fontId="2" fillId="5" borderId="23" xfId="0" applyNumberFormat="1" applyFont="1" applyFill="1" applyBorder="1" applyAlignment="1">
      <alignment horizontal="right"/>
    </xf>
    <xf numFmtId="0" fontId="2" fillId="5" borderId="23" xfId="0" applyFont="1" applyFill="1" applyBorder="1" applyAlignment="1">
      <alignment horizontal="right"/>
    </xf>
    <xf numFmtId="0" fontId="2" fillId="5" borderId="24" xfId="0" applyFont="1" applyFill="1" applyBorder="1" applyAlignment="1">
      <alignment horizontal="right"/>
    </xf>
    <xf numFmtId="14" fontId="0" fillId="0" borderId="20" xfId="0" applyNumberFormat="1" applyBorder="1"/>
    <xf numFmtId="0" fontId="0" fillId="0" borderId="38" xfId="0" applyBorder="1"/>
    <xf numFmtId="0" fontId="0" fillId="0" borderId="41" xfId="0" applyBorder="1"/>
    <xf numFmtId="0" fontId="2" fillId="9" borderId="35" xfId="0" applyFont="1" applyFill="1" applyBorder="1" applyAlignment="1">
      <alignment horizontal="right"/>
    </xf>
    <xf numFmtId="0" fontId="0" fillId="0" borderId="42" xfId="0" applyBorder="1"/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0" fillId="0" borderId="31" xfId="0" applyNumberFormat="1" applyBorder="1" applyAlignment="1">
      <alignment horizontal="center" vertical="center"/>
    </xf>
    <xf numFmtId="0" fontId="0" fillId="0" borderId="26" xfId="0" applyNumberFormat="1" applyBorder="1" applyAlignment="1">
      <alignment horizontal="center" vertical="center"/>
    </xf>
    <xf numFmtId="0" fontId="0" fillId="0" borderId="32" xfId="0" applyNumberFormat="1" applyBorder="1" applyAlignment="1">
      <alignment horizontal="center" vertical="center"/>
    </xf>
    <xf numFmtId="0" fontId="0" fillId="0" borderId="31" xfId="0" applyNumberFormat="1" applyBorder="1" applyAlignment="1">
      <alignment horizontal="center" vertical="center" wrapText="1"/>
    </xf>
    <xf numFmtId="0" fontId="0" fillId="0" borderId="26" xfId="0" applyNumberFormat="1" applyBorder="1" applyAlignment="1">
      <alignment horizontal="center" vertical="center" wrapText="1"/>
    </xf>
    <xf numFmtId="0" fontId="0" fillId="0" borderId="32" xfId="0" applyNumberFormat="1" applyBorder="1" applyAlignment="1">
      <alignment horizontal="center" vertical="center" wrapText="1"/>
    </xf>
  </cellXfs>
  <cellStyles count="3">
    <cellStyle name="Normal" xfId="0" builtinId="0"/>
    <cellStyle name="Normal 2" xfId="2"/>
    <cellStyle name="Normal 3" xfId="1"/>
  </cellStyles>
  <dxfs count="20">
    <dxf>
      <font>
        <color rgb="FFFF0000"/>
      </font>
      <fill>
        <patternFill>
          <fgColor indexed="64"/>
          <bgColor rgb="FFFFE5E5"/>
        </patternFill>
      </fill>
    </dxf>
    <dxf>
      <font>
        <color rgb="FFFF0000"/>
      </font>
      <fill>
        <patternFill>
          <fgColor indexed="64"/>
          <bgColor rgb="FFFFE5E5"/>
        </patternFill>
      </fill>
    </dxf>
    <dxf>
      <font>
        <color rgb="FFFF0000"/>
      </font>
      <fill>
        <patternFill>
          <fgColor indexed="64"/>
          <bgColor rgb="FFFFE5E5"/>
        </patternFill>
      </fill>
    </dxf>
    <dxf>
      <font>
        <color rgb="FFFF0000"/>
      </font>
      <fill>
        <patternFill>
          <fgColor indexed="64"/>
          <bgColor rgb="FFFFE5E5"/>
        </patternFill>
      </fill>
    </dxf>
    <dxf>
      <font>
        <color rgb="FFFF0000"/>
      </font>
      <fill>
        <patternFill>
          <fgColor indexed="64"/>
          <bgColor rgb="FFFFE5E5"/>
        </patternFill>
      </fill>
    </dxf>
    <dxf>
      <font>
        <color rgb="FFFF0000"/>
      </font>
      <fill>
        <patternFill>
          <fgColor rgb="FFFFB9B9"/>
          <bgColor rgb="FFFFD1D1"/>
        </patternFill>
      </fill>
    </dxf>
    <dxf>
      <font>
        <color rgb="FF00B050"/>
      </font>
      <fill>
        <patternFill>
          <bgColor rgb="FFC2F3BB"/>
        </patternFill>
      </fill>
    </dxf>
    <dxf>
      <font>
        <color rgb="FFFF0000"/>
      </font>
      <fill>
        <patternFill>
          <fgColor rgb="FFFFB9B9"/>
          <bgColor rgb="FFFFD1D1"/>
        </patternFill>
      </fill>
    </dxf>
    <dxf>
      <font>
        <color rgb="FF00B050"/>
      </font>
      <fill>
        <patternFill>
          <bgColor rgb="FFC2F3BB"/>
        </patternFill>
      </fill>
    </dxf>
    <dxf>
      <font>
        <color rgb="FFFF0000"/>
      </font>
      <fill>
        <patternFill>
          <fgColor rgb="FFFFB9B9"/>
          <bgColor rgb="FFFFD1D1"/>
        </patternFill>
      </fill>
    </dxf>
    <dxf>
      <font>
        <color rgb="FF00B050"/>
      </font>
      <fill>
        <patternFill>
          <bgColor rgb="FFC2F3BB"/>
        </patternFill>
      </fill>
    </dxf>
    <dxf>
      <font>
        <color rgb="FFFF0000"/>
      </font>
      <fill>
        <patternFill>
          <fgColor rgb="FFFFB9B9"/>
          <bgColor rgb="FFFFD1D1"/>
        </patternFill>
      </fill>
    </dxf>
    <dxf>
      <font>
        <color rgb="FF00B050"/>
      </font>
      <fill>
        <patternFill>
          <bgColor rgb="FFC2F3BB"/>
        </patternFill>
      </fill>
    </dxf>
    <dxf>
      <font>
        <color rgb="FFFF0000"/>
      </font>
      <fill>
        <patternFill>
          <fgColor indexed="64"/>
          <bgColor rgb="FFFFE5E5"/>
        </patternFill>
      </fill>
    </dxf>
    <dxf>
      <font>
        <color rgb="FFFF0000"/>
      </font>
      <fill>
        <patternFill>
          <fgColor rgb="FFFFB9B9"/>
          <bgColor rgb="FFFFD1D1"/>
        </patternFill>
      </fill>
    </dxf>
    <dxf>
      <font>
        <color rgb="FF00B050"/>
      </font>
      <fill>
        <patternFill>
          <bgColor rgb="FFC2F3BB"/>
        </patternFill>
      </fill>
    </dxf>
    <dxf>
      <font>
        <color rgb="FFFF0000"/>
      </font>
      <fill>
        <patternFill>
          <fgColor rgb="FFFFB9B9"/>
          <bgColor rgb="FFFFD1D1"/>
        </patternFill>
      </fill>
    </dxf>
    <dxf>
      <font>
        <color rgb="FF00B050"/>
      </font>
      <fill>
        <patternFill>
          <bgColor rgb="FFC2F3BB"/>
        </patternFill>
      </fill>
    </dxf>
    <dxf>
      <font>
        <color rgb="FFFF0000"/>
      </font>
      <fill>
        <patternFill>
          <fgColor rgb="FFFFB9B9"/>
          <bgColor rgb="FFFFD1D1"/>
        </patternFill>
      </fill>
    </dxf>
    <dxf>
      <font>
        <color rgb="FF00B050"/>
      </font>
      <fill>
        <patternFill>
          <bgColor rgb="FFC2F3BB"/>
        </patternFill>
      </fill>
    </dxf>
  </dxfs>
  <tableStyles count="0" defaultTableStyle="TableStyleMedium2" defaultPivotStyle="PivotStyleLight16"/>
  <colors>
    <mruColors>
      <color rgb="FFFFE5E5"/>
      <color rgb="FFFFFFCC"/>
      <color rgb="FFC1F0FF"/>
      <color rgb="FFC2F3BB"/>
      <color rgb="FFFFD1D1"/>
      <color rgb="FFFFB9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161924</xdr:rowOff>
    </xdr:from>
    <xdr:to>
      <xdr:col>4</xdr:col>
      <xdr:colOff>1228725</xdr:colOff>
      <xdr:row>5</xdr:row>
      <xdr:rowOff>28574</xdr:rowOff>
    </xdr:to>
    <xdr:sp macro="[0]!Inventory" textlink="">
      <xdr:nvSpPr>
        <xdr:cNvPr id="2" name="Rectangle 1"/>
        <xdr:cNvSpPr/>
      </xdr:nvSpPr>
      <xdr:spPr>
        <a:xfrm>
          <a:off x="4486275" y="161924"/>
          <a:ext cx="1228725" cy="828675"/>
        </a:xfrm>
        <a:prstGeom prst="rect">
          <a:avLst/>
        </a:prstGeom>
        <a:solidFill>
          <a:srgbClr val="00B0F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/>
            <a:t>Generate Report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10N%20Golden%20file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10N_Vendor_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ecast"/>
      <sheetName val="WTD USED"/>
      <sheetName val="WTD GR"/>
      <sheetName val="QOH"/>
      <sheetName val="Fcst Adjustment Factor-Tableau"/>
    </sheetNames>
    <sheetDataSet>
      <sheetData sheetId="0" refreshError="1"/>
      <sheetData sheetId="1">
        <row r="1">
          <cell r="C1" t="str">
            <v>Material</v>
          </cell>
          <cell r="I1" t="str">
            <v>Quantity</v>
          </cell>
        </row>
        <row r="2">
          <cell r="C2" t="str">
            <v>160-00591</v>
          </cell>
          <cell r="I2">
            <v>-1</v>
          </cell>
        </row>
        <row r="3">
          <cell r="C3" t="str">
            <v>160-00591</v>
          </cell>
          <cell r="I3">
            <v>-1</v>
          </cell>
        </row>
        <row r="4">
          <cell r="C4" t="str">
            <v>160-00757</v>
          </cell>
          <cell r="I4">
            <v>-3</v>
          </cell>
        </row>
        <row r="5">
          <cell r="C5" t="str">
            <v>160-00757</v>
          </cell>
          <cell r="I5">
            <v>-3</v>
          </cell>
        </row>
        <row r="6">
          <cell r="C6" t="str">
            <v>160-00757</v>
          </cell>
          <cell r="I6">
            <v>-2</v>
          </cell>
        </row>
        <row r="7">
          <cell r="C7" t="str">
            <v>160-00757</v>
          </cell>
          <cell r="I7">
            <v>-2</v>
          </cell>
        </row>
        <row r="8">
          <cell r="C8" t="str">
            <v>160-00713</v>
          </cell>
          <cell r="I8">
            <v>-1</v>
          </cell>
        </row>
        <row r="9">
          <cell r="C9" t="str">
            <v>160-00713</v>
          </cell>
          <cell r="I9">
            <v>-1</v>
          </cell>
        </row>
        <row r="10">
          <cell r="C10" t="str">
            <v>160-00713</v>
          </cell>
          <cell r="I10">
            <v>-1</v>
          </cell>
        </row>
        <row r="11">
          <cell r="C11" t="str">
            <v>160-00713</v>
          </cell>
          <cell r="I11">
            <v>-1</v>
          </cell>
        </row>
        <row r="12">
          <cell r="C12" t="str">
            <v>160-01037</v>
          </cell>
          <cell r="I12">
            <v>-1</v>
          </cell>
        </row>
        <row r="13">
          <cell r="C13" t="str">
            <v>160-01037</v>
          </cell>
          <cell r="I13">
            <v>-1</v>
          </cell>
        </row>
        <row r="14">
          <cell r="C14" t="str">
            <v>160-01037</v>
          </cell>
          <cell r="I14">
            <v>-1</v>
          </cell>
        </row>
        <row r="15">
          <cell r="C15" t="str">
            <v>160-01037</v>
          </cell>
          <cell r="I15">
            <v>-2</v>
          </cell>
        </row>
        <row r="16">
          <cell r="C16" t="str">
            <v>160-01037</v>
          </cell>
          <cell r="I16">
            <v>-1</v>
          </cell>
        </row>
        <row r="17">
          <cell r="C17" t="str">
            <v>160-00627</v>
          </cell>
          <cell r="I17">
            <v>-1</v>
          </cell>
        </row>
        <row r="18">
          <cell r="C18" t="str">
            <v>160-00627</v>
          </cell>
          <cell r="I18">
            <v>-1</v>
          </cell>
        </row>
        <row r="19">
          <cell r="C19" t="str">
            <v>160-00627</v>
          </cell>
          <cell r="I19">
            <v>-1</v>
          </cell>
        </row>
        <row r="20">
          <cell r="C20" t="str">
            <v>160-00627</v>
          </cell>
          <cell r="I20">
            <v>-1</v>
          </cell>
        </row>
        <row r="21">
          <cell r="C21" t="str">
            <v>160-00801</v>
          </cell>
          <cell r="I21">
            <v>-1</v>
          </cell>
        </row>
        <row r="22">
          <cell r="C22" t="str">
            <v>160-00801</v>
          </cell>
          <cell r="I22">
            <v>-1</v>
          </cell>
        </row>
        <row r="23">
          <cell r="C23" t="str">
            <v>160-00801</v>
          </cell>
          <cell r="I23">
            <v>-1</v>
          </cell>
        </row>
        <row r="24">
          <cell r="C24" t="str">
            <v>160-00801</v>
          </cell>
          <cell r="I24">
            <v>-1</v>
          </cell>
        </row>
        <row r="25">
          <cell r="C25" t="str">
            <v>160-00801</v>
          </cell>
          <cell r="I25">
            <v>-1</v>
          </cell>
        </row>
        <row r="26">
          <cell r="C26" t="str">
            <v>160-00801</v>
          </cell>
          <cell r="I26">
            <v>-2</v>
          </cell>
        </row>
        <row r="27">
          <cell r="C27" t="str">
            <v>160-00801</v>
          </cell>
          <cell r="I27">
            <v>-1</v>
          </cell>
        </row>
        <row r="28">
          <cell r="C28" t="str">
            <v>160-00624</v>
          </cell>
          <cell r="I28">
            <v>-1</v>
          </cell>
        </row>
        <row r="29">
          <cell r="C29" t="str">
            <v>160-00624</v>
          </cell>
          <cell r="I29">
            <v>-1</v>
          </cell>
        </row>
        <row r="30">
          <cell r="C30" t="str">
            <v>160-00624</v>
          </cell>
          <cell r="I30">
            <v>-1</v>
          </cell>
        </row>
        <row r="31">
          <cell r="C31" t="str">
            <v>160-00688</v>
          </cell>
          <cell r="I31">
            <v>-3</v>
          </cell>
        </row>
        <row r="32">
          <cell r="C32" t="str">
            <v>160-00688</v>
          </cell>
          <cell r="I32">
            <v>-3</v>
          </cell>
        </row>
        <row r="33">
          <cell r="C33" t="str">
            <v>160-00688</v>
          </cell>
          <cell r="I33">
            <v>-4</v>
          </cell>
        </row>
        <row r="34">
          <cell r="C34" t="str">
            <v>160-00688</v>
          </cell>
          <cell r="I34">
            <v>-4</v>
          </cell>
        </row>
        <row r="35">
          <cell r="C35" t="str">
            <v>160-00688</v>
          </cell>
          <cell r="I35">
            <v>-4</v>
          </cell>
        </row>
        <row r="36">
          <cell r="C36" t="str">
            <v>160-00688</v>
          </cell>
          <cell r="I36">
            <v>-2</v>
          </cell>
        </row>
        <row r="37">
          <cell r="C37" t="str">
            <v>160-00688</v>
          </cell>
          <cell r="I37">
            <v>-3</v>
          </cell>
        </row>
        <row r="38">
          <cell r="C38" t="str">
            <v>160-00688</v>
          </cell>
          <cell r="I38">
            <v>-5</v>
          </cell>
        </row>
        <row r="39">
          <cell r="C39" t="str">
            <v>160-00667</v>
          </cell>
          <cell r="I39">
            <v>-1</v>
          </cell>
        </row>
        <row r="40">
          <cell r="C40" t="str">
            <v>160-00667</v>
          </cell>
          <cell r="I40">
            <v>-1</v>
          </cell>
        </row>
        <row r="41">
          <cell r="C41" t="str">
            <v>160-00720</v>
          </cell>
          <cell r="I41">
            <v>-1</v>
          </cell>
        </row>
        <row r="42">
          <cell r="C42" t="str">
            <v>160-00720</v>
          </cell>
          <cell r="I42">
            <v>-1</v>
          </cell>
        </row>
        <row r="43">
          <cell r="C43" t="str">
            <v>160-00720</v>
          </cell>
          <cell r="I43">
            <v>-1</v>
          </cell>
        </row>
        <row r="44">
          <cell r="C44" t="str">
            <v>160-00720</v>
          </cell>
          <cell r="I44">
            <v>-1</v>
          </cell>
        </row>
        <row r="45">
          <cell r="C45" t="str">
            <v>160-00518</v>
          </cell>
          <cell r="I45">
            <v>-1</v>
          </cell>
        </row>
        <row r="46">
          <cell r="C46" t="str">
            <v>160-00518</v>
          </cell>
          <cell r="I46">
            <v>-2</v>
          </cell>
        </row>
        <row r="47">
          <cell r="C47" t="str">
            <v>160-00518</v>
          </cell>
          <cell r="I47">
            <v>-2</v>
          </cell>
        </row>
        <row r="48">
          <cell r="C48" t="str">
            <v>160-00518</v>
          </cell>
          <cell r="I48">
            <v>-2</v>
          </cell>
        </row>
        <row r="49">
          <cell r="C49" t="str">
            <v>160-00518</v>
          </cell>
          <cell r="I49">
            <v>-1</v>
          </cell>
        </row>
        <row r="50">
          <cell r="C50" t="str">
            <v>160-00518</v>
          </cell>
          <cell r="I50">
            <v>-1</v>
          </cell>
        </row>
        <row r="51">
          <cell r="C51" t="str">
            <v>160-00518</v>
          </cell>
          <cell r="I51">
            <v>-1</v>
          </cell>
        </row>
        <row r="52">
          <cell r="C52" t="str">
            <v>160-00518</v>
          </cell>
          <cell r="I52">
            <v>-1</v>
          </cell>
        </row>
        <row r="53">
          <cell r="C53" t="str">
            <v>160-00518</v>
          </cell>
          <cell r="I53">
            <v>-2</v>
          </cell>
        </row>
        <row r="54">
          <cell r="C54" t="str">
            <v>160-01148</v>
          </cell>
          <cell r="I54">
            <v>-5</v>
          </cell>
        </row>
        <row r="55">
          <cell r="C55" t="str">
            <v>160-01148</v>
          </cell>
          <cell r="I55">
            <v>-5</v>
          </cell>
        </row>
        <row r="56">
          <cell r="C56" t="str">
            <v>160-01148</v>
          </cell>
          <cell r="I56">
            <v>-3</v>
          </cell>
        </row>
        <row r="57">
          <cell r="C57" t="str">
            <v>160-01148</v>
          </cell>
          <cell r="I57">
            <v>-3</v>
          </cell>
        </row>
        <row r="58">
          <cell r="C58" t="str">
            <v>160-01148</v>
          </cell>
          <cell r="I58">
            <v>-4</v>
          </cell>
        </row>
        <row r="59">
          <cell r="C59" t="str">
            <v>160-01148</v>
          </cell>
          <cell r="I59">
            <v>-2</v>
          </cell>
        </row>
        <row r="60">
          <cell r="C60" t="str">
            <v>160-01148</v>
          </cell>
          <cell r="I60">
            <v>-2</v>
          </cell>
        </row>
        <row r="61">
          <cell r="C61" t="str">
            <v>160-01148</v>
          </cell>
          <cell r="I61">
            <v>-7</v>
          </cell>
        </row>
        <row r="62">
          <cell r="C62" t="str">
            <v>160-01148</v>
          </cell>
          <cell r="I62">
            <v>-3</v>
          </cell>
        </row>
        <row r="63">
          <cell r="C63" t="str">
            <v>160-01148</v>
          </cell>
          <cell r="I63">
            <v>-5</v>
          </cell>
        </row>
        <row r="64">
          <cell r="C64" t="str">
            <v>160-01148</v>
          </cell>
          <cell r="I64">
            <v>-5</v>
          </cell>
        </row>
        <row r="65">
          <cell r="C65" t="str">
            <v>160-01148</v>
          </cell>
          <cell r="I65">
            <v>-2</v>
          </cell>
        </row>
        <row r="66">
          <cell r="C66" t="str">
            <v>160-01148</v>
          </cell>
          <cell r="I66">
            <v>-6</v>
          </cell>
        </row>
        <row r="67">
          <cell r="C67" t="str">
            <v>160-00665</v>
          </cell>
          <cell r="I67">
            <v>-1</v>
          </cell>
        </row>
        <row r="68">
          <cell r="C68" t="str">
            <v>160-00665</v>
          </cell>
          <cell r="I68">
            <v>-1</v>
          </cell>
        </row>
        <row r="69">
          <cell r="C69" t="str">
            <v>160-00665</v>
          </cell>
          <cell r="I69">
            <v>-1</v>
          </cell>
        </row>
        <row r="70">
          <cell r="C70" t="str">
            <v>160-00665</v>
          </cell>
          <cell r="I70">
            <v>-1</v>
          </cell>
        </row>
        <row r="71">
          <cell r="C71" t="str">
            <v>160-00665</v>
          </cell>
          <cell r="I71">
            <v>-1</v>
          </cell>
        </row>
        <row r="72">
          <cell r="C72" t="str">
            <v>160-00665</v>
          </cell>
          <cell r="I72">
            <v>-2</v>
          </cell>
        </row>
        <row r="73">
          <cell r="C73" t="str">
            <v>160-00665</v>
          </cell>
          <cell r="I73">
            <v>-1</v>
          </cell>
        </row>
        <row r="74">
          <cell r="C74" t="str">
            <v>160-00665</v>
          </cell>
          <cell r="I74">
            <v>-1</v>
          </cell>
        </row>
        <row r="75">
          <cell r="C75" t="str">
            <v>160-01134</v>
          </cell>
          <cell r="I75">
            <v>-2</v>
          </cell>
        </row>
        <row r="76">
          <cell r="C76" t="str">
            <v>160-01134</v>
          </cell>
          <cell r="I76">
            <v>-2</v>
          </cell>
        </row>
        <row r="77">
          <cell r="C77" t="str">
            <v>160-01134</v>
          </cell>
          <cell r="I77">
            <v>-2</v>
          </cell>
        </row>
        <row r="78">
          <cell r="C78" t="str">
            <v>160-01134</v>
          </cell>
          <cell r="I78">
            <v>-3</v>
          </cell>
        </row>
        <row r="79">
          <cell r="C79" t="str">
            <v>160-01134</v>
          </cell>
          <cell r="I79">
            <v>-2</v>
          </cell>
        </row>
        <row r="80">
          <cell r="C80" t="str">
            <v>160-01134</v>
          </cell>
          <cell r="I80">
            <v>-2</v>
          </cell>
        </row>
        <row r="81">
          <cell r="C81" t="str">
            <v>160-01134</v>
          </cell>
          <cell r="I81">
            <v>-2</v>
          </cell>
        </row>
        <row r="82">
          <cell r="C82" t="str">
            <v>160-01134</v>
          </cell>
          <cell r="I82">
            <v>-2</v>
          </cell>
        </row>
        <row r="83">
          <cell r="C83" t="str">
            <v>160-01134</v>
          </cell>
          <cell r="I83">
            <v>-1</v>
          </cell>
        </row>
        <row r="84">
          <cell r="C84" t="str">
            <v>160-01134</v>
          </cell>
          <cell r="I84">
            <v>-2</v>
          </cell>
        </row>
        <row r="85">
          <cell r="C85" t="str">
            <v>160-01134</v>
          </cell>
          <cell r="I85">
            <v>-3</v>
          </cell>
        </row>
        <row r="86">
          <cell r="C86" t="str">
            <v>160-01134</v>
          </cell>
          <cell r="I86">
            <v>-2</v>
          </cell>
        </row>
        <row r="87">
          <cell r="C87" t="str">
            <v>160-01134</v>
          </cell>
          <cell r="I87">
            <v>-3</v>
          </cell>
        </row>
        <row r="88">
          <cell r="C88" t="str">
            <v>160-01134</v>
          </cell>
          <cell r="I88">
            <v>-1</v>
          </cell>
        </row>
        <row r="89">
          <cell r="C89" t="str">
            <v>160-01047</v>
          </cell>
          <cell r="I89">
            <v>-1</v>
          </cell>
        </row>
        <row r="90">
          <cell r="C90" t="str">
            <v>160-01047</v>
          </cell>
          <cell r="I90">
            <v>-4</v>
          </cell>
        </row>
        <row r="91">
          <cell r="C91" t="str">
            <v>160-01047</v>
          </cell>
          <cell r="I91">
            <v>-3</v>
          </cell>
        </row>
        <row r="92">
          <cell r="C92" t="str">
            <v>160-01047</v>
          </cell>
          <cell r="I92">
            <v>-1</v>
          </cell>
        </row>
        <row r="93">
          <cell r="C93" t="str">
            <v>160-01047</v>
          </cell>
          <cell r="I93">
            <v>-2</v>
          </cell>
        </row>
        <row r="94">
          <cell r="C94" t="str">
            <v>160-01047</v>
          </cell>
          <cell r="I94">
            <v>-1</v>
          </cell>
        </row>
        <row r="95">
          <cell r="C95" t="str">
            <v>160-01047</v>
          </cell>
          <cell r="I95">
            <v>-2</v>
          </cell>
        </row>
        <row r="96">
          <cell r="C96" t="str">
            <v>160-01047</v>
          </cell>
          <cell r="I96">
            <v>-1</v>
          </cell>
        </row>
        <row r="97">
          <cell r="C97" t="str">
            <v>160-01047</v>
          </cell>
          <cell r="I97">
            <v>-3</v>
          </cell>
        </row>
        <row r="98">
          <cell r="C98" t="str">
            <v>160-01045</v>
          </cell>
          <cell r="I98">
            <v>-1</v>
          </cell>
        </row>
        <row r="99">
          <cell r="C99" t="str">
            <v>160-01045</v>
          </cell>
          <cell r="I99">
            <v>-2</v>
          </cell>
        </row>
        <row r="100">
          <cell r="C100" t="str">
            <v>160-01045</v>
          </cell>
          <cell r="I100">
            <v>-1</v>
          </cell>
        </row>
        <row r="101">
          <cell r="C101" t="str">
            <v>160-01045</v>
          </cell>
          <cell r="I101">
            <v>-1</v>
          </cell>
        </row>
        <row r="102">
          <cell r="C102" t="str">
            <v>160-01045</v>
          </cell>
          <cell r="I102">
            <v>-1</v>
          </cell>
        </row>
        <row r="103">
          <cell r="C103" t="str">
            <v>160-00377</v>
          </cell>
          <cell r="I103">
            <v>-2</v>
          </cell>
        </row>
        <row r="104">
          <cell r="C104" t="str">
            <v>160-00377</v>
          </cell>
          <cell r="I104">
            <v>-3</v>
          </cell>
        </row>
        <row r="105">
          <cell r="C105" t="str">
            <v>160-00377</v>
          </cell>
          <cell r="I105">
            <v>-2</v>
          </cell>
        </row>
        <row r="106">
          <cell r="C106" t="str">
            <v>160-00377</v>
          </cell>
          <cell r="I106">
            <v>-3</v>
          </cell>
        </row>
        <row r="107">
          <cell r="C107" t="str">
            <v>160-00377</v>
          </cell>
          <cell r="I107">
            <v>-2</v>
          </cell>
        </row>
        <row r="108">
          <cell r="C108" t="str">
            <v>160-00377</v>
          </cell>
          <cell r="I108">
            <v>-3</v>
          </cell>
        </row>
        <row r="109">
          <cell r="C109" t="str">
            <v>160-00377</v>
          </cell>
          <cell r="I109">
            <v>-3</v>
          </cell>
        </row>
        <row r="110">
          <cell r="C110" t="str">
            <v>160-00377</v>
          </cell>
          <cell r="I110">
            <v>-3</v>
          </cell>
        </row>
        <row r="111">
          <cell r="C111" t="str">
            <v>160-00575</v>
          </cell>
          <cell r="I111">
            <v>-3</v>
          </cell>
        </row>
        <row r="112">
          <cell r="C112" t="str">
            <v>160-00309</v>
          </cell>
          <cell r="I112">
            <v>-4</v>
          </cell>
        </row>
        <row r="113">
          <cell r="C113" t="str">
            <v>160-00309</v>
          </cell>
          <cell r="I113">
            <v>-6</v>
          </cell>
        </row>
        <row r="114">
          <cell r="C114" t="str">
            <v>160-00309</v>
          </cell>
          <cell r="I114">
            <v>-2</v>
          </cell>
        </row>
        <row r="115">
          <cell r="C115" t="str">
            <v>160-00309</v>
          </cell>
          <cell r="I115">
            <v>-5</v>
          </cell>
        </row>
        <row r="116">
          <cell r="C116" t="str">
            <v>160-00309</v>
          </cell>
          <cell r="I116">
            <v>-7</v>
          </cell>
        </row>
        <row r="117">
          <cell r="C117" t="str">
            <v>160-00309</v>
          </cell>
          <cell r="I117">
            <v>-2</v>
          </cell>
        </row>
        <row r="118">
          <cell r="C118" t="str">
            <v>160-00309</v>
          </cell>
          <cell r="I118">
            <v>-8</v>
          </cell>
        </row>
        <row r="119">
          <cell r="C119" t="str">
            <v>160-00309</v>
          </cell>
          <cell r="I119">
            <v>-4</v>
          </cell>
        </row>
        <row r="120">
          <cell r="C120" t="str">
            <v>160-00309</v>
          </cell>
          <cell r="I120">
            <v>-3</v>
          </cell>
        </row>
        <row r="121">
          <cell r="C121" t="str">
            <v>160-00309</v>
          </cell>
          <cell r="I121">
            <v>-5</v>
          </cell>
        </row>
        <row r="122">
          <cell r="C122" t="str">
            <v>160-00309</v>
          </cell>
          <cell r="I122">
            <v>-5</v>
          </cell>
        </row>
        <row r="123">
          <cell r="C123" t="str">
            <v>160-00309</v>
          </cell>
          <cell r="I123">
            <v>-4</v>
          </cell>
        </row>
        <row r="124">
          <cell r="C124" t="str">
            <v>160-00309</v>
          </cell>
          <cell r="I124">
            <v>-9</v>
          </cell>
        </row>
        <row r="125">
          <cell r="C125" t="str">
            <v>160-00309</v>
          </cell>
          <cell r="I125">
            <v>-6</v>
          </cell>
        </row>
        <row r="126">
          <cell r="C126" t="str">
            <v>160-00629</v>
          </cell>
          <cell r="I126">
            <v>-5</v>
          </cell>
        </row>
        <row r="127">
          <cell r="C127" t="str">
            <v>160-00629</v>
          </cell>
          <cell r="I127">
            <v>-2</v>
          </cell>
        </row>
        <row r="128">
          <cell r="C128" t="str">
            <v>160-00629</v>
          </cell>
          <cell r="I128">
            <v>-4</v>
          </cell>
        </row>
        <row r="129">
          <cell r="C129" t="str">
            <v>160-00629</v>
          </cell>
          <cell r="I129">
            <v>-3</v>
          </cell>
        </row>
        <row r="130">
          <cell r="C130" t="str">
            <v>160-00629</v>
          </cell>
          <cell r="I130">
            <v>-2</v>
          </cell>
        </row>
        <row r="131">
          <cell r="C131" t="str">
            <v>160-00629</v>
          </cell>
          <cell r="I131">
            <v>-5</v>
          </cell>
        </row>
        <row r="132">
          <cell r="C132" t="str">
            <v>160-00629</v>
          </cell>
          <cell r="I132">
            <v>-2</v>
          </cell>
        </row>
        <row r="133">
          <cell r="C133" t="str">
            <v>160-00629</v>
          </cell>
          <cell r="I133">
            <v>-4</v>
          </cell>
        </row>
        <row r="134">
          <cell r="C134" t="str">
            <v>160-00629</v>
          </cell>
          <cell r="I134">
            <v>-3</v>
          </cell>
        </row>
        <row r="135">
          <cell r="C135" t="str">
            <v>160-00629</v>
          </cell>
          <cell r="I135">
            <v>-2</v>
          </cell>
        </row>
        <row r="136">
          <cell r="C136" t="str">
            <v>160-00629</v>
          </cell>
          <cell r="I136">
            <v>-2</v>
          </cell>
        </row>
        <row r="137">
          <cell r="C137" t="str">
            <v>160-00629</v>
          </cell>
          <cell r="I137">
            <v>-5</v>
          </cell>
        </row>
        <row r="138">
          <cell r="C138" t="str">
            <v>160-00629</v>
          </cell>
          <cell r="I138">
            <v>-4</v>
          </cell>
        </row>
        <row r="139">
          <cell r="C139" t="str">
            <v>160-00629</v>
          </cell>
          <cell r="I139">
            <v>-5</v>
          </cell>
        </row>
        <row r="140">
          <cell r="C140" t="str">
            <v>160-00629</v>
          </cell>
          <cell r="I140">
            <v>-3</v>
          </cell>
        </row>
        <row r="141">
          <cell r="C141" t="str">
            <v>160-00629</v>
          </cell>
          <cell r="I141">
            <v>-5</v>
          </cell>
        </row>
        <row r="142">
          <cell r="C142" t="str">
            <v>160-01055</v>
          </cell>
          <cell r="I142">
            <v>-1</v>
          </cell>
        </row>
        <row r="143">
          <cell r="C143" t="str">
            <v>160-01055</v>
          </cell>
          <cell r="I143">
            <v>-3</v>
          </cell>
        </row>
        <row r="144">
          <cell r="C144" t="str">
            <v>160-01055</v>
          </cell>
          <cell r="I144">
            <v>-3</v>
          </cell>
        </row>
        <row r="145">
          <cell r="C145" t="str">
            <v>160-00630</v>
          </cell>
          <cell r="I145">
            <v>-2</v>
          </cell>
        </row>
        <row r="146">
          <cell r="C146" t="str">
            <v>160-00630</v>
          </cell>
          <cell r="I146">
            <v>-2</v>
          </cell>
        </row>
        <row r="147">
          <cell r="C147" t="str">
            <v>160-00630</v>
          </cell>
          <cell r="I147">
            <v>-2</v>
          </cell>
        </row>
        <row r="148">
          <cell r="C148" t="str">
            <v>160-00630</v>
          </cell>
          <cell r="I148">
            <v>-2</v>
          </cell>
        </row>
        <row r="149">
          <cell r="C149" t="str">
            <v>160-00630</v>
          </cell>
          <cell r="I149">
            <v>-2</v>
          </cell>
        </row>
        <row r="150">
          <cell r="C150" t="str">
            <v>160-00630</v>
          </cell>
          <cell r="I150">
            <v>-2</v>
          </cell>
        </row>
        <row r="151">
          <cell r="C151" t="str">
            <v>160-00630</v>
          </cell>
          <cell r="I151">
            <v>-3</v>
          </cell>
        </row>
        <row r="152">
          <cell r="C152" t="str">
            <v>160-00724</v>
          </cell>
          <cell r="I152">
            <v>-1</v>
          </cell>
        </row>
        <row r="153">
          <cell r="C153" t="str">
            <v>160-00724</v>
          </cell>
          <cell r="I153">
            <v>-1</v>
          </cell>
        </row>
        <row r="154">
          <cell r="C154" t="str">
            <v>160-00724</v>
          </cell>
          <cell r="I154">
            <v>-1</v>
          </cell>
        </row>
        <row r="155">
          <cell r="C155" t="str">
            <v>160-00724</v>
          </cell>
          <cell r="I155">
            <v>-4</v>
          </cell>
        </row>
        <row r="156">
          <cell r="C156" t="str">
            <v>160-00724</v>
          </cell>
          <cell r="I156">
            <v>-1</v>
          </cell>
        </row>
        <row r="157">
          <cell r="C157" t="str">
            <v>160-00563</v>
          </cell>
          <cell r="I157">
            <v>-1</v>
          </cell>
        </row>
        <row r="158">
          <cell r="C158" t="str">
            <v>160-00563</v>
          </cell>
          <cell r="I158">
            <v>-1</v>
          </cell>
        </row>
        <row r="159">
          <cell r="C159" t="str">
            <v>160-00563</v>
          </cell>
          <cell r="I159">
            <v>-1</v>
          </cell>
        </row>
        <row r="160">
          <cell r="C160" t="str">
            <v>160-01055</v>
          </cell>
          <cell r="I160">
            <v>-2</v>
          </cell>
        </row>
        <row r="161">
          <cell r="C161" t="str">
            <v>160-01055</v>
          </cell>
          <cell r="I161">
            <v>-3</v>
          </cell>
        </row>
        <row r="162">
          <cell r="C162" t="str">
            <v>160-01055</v>
          </cell>
          <cell r="I162">
            <v>-1</v>
          </cell>
        </row>
        <row r="163">
          <cell r="C163" t="str">
            <v>160-01055</v>
          </cell>
          <cell r="I163">
            <v>-4</v>
          </cell>
        </row>
        <row r="164">
          <cell r="C164" t="str">
            <v>160-00788</v>
          </cell>
          <cell r="I164">
            <v>-5</v>
          </cell>
        </row>
        <row r="165">
          <cell r="C165" t="str">
            <v>160-00788</v>
          </cell>
          <cell r="I165">
            <v>-2</v>
          </cell>
        </row>
        <row r="166">
          <cell r="C166" t="str">
            <v>160-00788</v>
          </cell>
          <cell r="I166">
            <v>-6</v>
          </cell>
        </row>
        <row r="167">
          <cell r="C167" t="str">
            <v>160-00788</v>
          </cell>
          <cell r="I167">
            <v>-6</v>
          </cell>
        </row>
        <row r="168">
          <cell r="C168" t="str">
            <v>160-00788</v>
          </cell>
          <cell r="I168">
            <v>-4</v>
          </cell>
        </row>
        <row r="169">
          <cell r="C169" t="str">
            <v>160-00788</v>
          </cell>
          <cell r="I169">
            <v>-5</v>
          </cell>
        </row>
        <row r="170">
          <cell r="C170" t="str">
            <v>160-00788</v>
          </cell>
          <cell r="I170">
            <v>-7</v>
          </cell>
        </row>
        <row r="171">
          <cell r="C171" t="str">
            <v>160-00788</v>
          </cell>
          <cell r="I171">
            <v>-7</v>
          </cell>
        </row>
        <row r="172">
          <cell r="C172" t="str">
            <v>160-00788</v>
          </cell>
          <cell r="I172">
            <v>-4</v>
          </cell>
        </row>
        <row r="173">
          <cell r="C173" t="str">
            <v>160-00788</v>
          </cell>
          <cell r="I173">
            <v>-4</v>
          </cell>
        </row>
        <row r="174">
          <cell r="C174" t="str">
            <v>160-00755</v>
          </cell>
          <cell r="I174">
            <v>-3</v>
          </cell>
        </row>
        <row r="175">
          <cell r="C175" t="str">
            <v>160-00589</v>
          </cell>
          <cell r="I175">
            <v>-1</v>
          </cell>
        </row>
        <row r="176">
          <cell r="C176" t="str">
            <v>160-00589</v>
          </cell>
          <cell r="I176">
            <v>-1</v>
          </cell>
        </row>
        <row r="177">
          <cell r="C177" t="str">
            <v>160-00589</v>
          </cell>
          <cell r="I177">
            <v>-1</v>
          </cell>
        </row>
        <row r="178">
          <cell r="C178" t="str">
            <v>160-00589</v>
          </cell>
          <cell r="I178">
            <v>-4</v>
          </cell>
        </row>
        <row r="179">
          <cell r="C179" t="str">
            <v>160-00589</v>
          </cell>
          <cell r="I179">
            <v>-1</v>
          </cell>
        </row>
        <row r="180">
          <cell r="C180" t="str">
            <v>160-00589</v>
          </cell>
          <cell r="I180">
            <v>-3</v>
          </cell>
        </row>
        <row r="181">
          <cell r="C181" t="str">
            <v>160-00589</v>
          </cell>
          <cell r="I181">
            <v>-1</v>
          </cell>
        </row>
        <row r="182">
          <cell r="C182" t="str">
            <v>160-00589</v>
          </cell>
          <cell r="I182">
            <v>-1</v>
          </cell>
        </row>
        <row r="183">
          <cell r="C183" t="str">
            <v>160-00636</v>
          </cell>
          <cell r="I183">
            <v>-2</v>
          </cell>
        </row>
        <row r="184">
          <cell r="C184" t="str">
            <v>160-00636</v>
          </cell>
          <cell r="I184">
            <v>-2</v>
          </cell>
        </row>
        <row r="185">
          <cell r="C185" t="str">
            <v>160-00636</v>
          </cell>
          <cell r="I185">
            <v>-2</v>
          </cell>
        </row>
        <row r="186">
          <cell r="C186" t="str">
            <v>160-00636</v>
          </cell>
          <cell r="I186">
            <v>-2</v>
          </cell>
        </row>
        <row r="187">
          <cell r="C187" t="str">
            <v>160-00636</v>
          </cell>
          <cell r="I187">
            <v>-2</v>
          </cell>
        </row>
        <row r="188">
          <cell r="C188" t="str">
            <v>160-00636</v>
          </cell>
          <cell r="I188">
            <v>-2</v>
          </cell>
        </row>
        <row r="189">
          <cell r="C189" t="str">
            <v>160-00636</v>
          </cell>
          <cell r="I189">
            <v>-3</v>
          </cell>
        </row>
        <row r="190">
          <cell r="C190" t="str">
            <v>160-00519</v>
          </cell>
          <cell r="I190">
            <v>-1</v>
          </cell>
        </row>
        <row r="191">
          <cell r="C191" t="str">
            <v>160-00519</v>
          </cell>
          <cell r="I191">
            <v>-1</v>
          </cell>
        </row>
        <row r="192">
          <cell r="C192" t="str">
            <v>160-00519</v>
          </cell>
          <cell r="I192">
            <v>-1</v>
          </cell>
        </row>
        <row r="193">
          <cell r="C193" t="str">
            <v>160-00519</v>
          </cell>
          <cell r="I193">
            <v>-1</v>
          </cell>
        </row>
        <row r="194">
          <cell r="C194" t="str">
            <v>160-00519</v>
          </cell>
          <cell r="I194">
            <v>-2</v>
          </cell>
        </row>
        <row r="195">
          <cell r="C195" t="str">
            <v>160-00519</v>
          </cell>
          <cell r="I195">
            <v>-2</v>
          </cell>
        </row>
        <row r="196">
          <cell r="C196" t="str">
            <v>160-00519</v>
          </cell>
          <cell r="I196">
            <v>-1</v>
          </cell>
        </row>
        <row r="197">
          <cell r="C197" t="str">
            <v>160-00716</v>
          </cell>
          <cell r="I197">
            <v>-1</v>
          </cell>
        </row>
        <row r="198">
          <cell r="C198" t="str">
            <v>160-00716</v>
          </cell>
          <cell r="I198">
            <v>-1</v>
          </cell>
        </row>
        <row r="199">
          <cell r="C199" t="str">
            <v>160-00716</v>
          </cell>
          <cell r="I199">
            <v>-1</v>
          </cell>
        </row>
        <row r="200">
          <cell r="C200" t="str">
            <v>160-00716</v>
          </cell>
          <cell r="I200">
            <v>-1</v>
          </cell>
        </row>
        <row r="201">
          <cell r="C201" t="str">
            <v>160-00716</v>
          </cell>
          <cell r="I201">
            <v>-1</v>
          </cell>
        </row>
        <row r="202">
          <cell r="C202" t="str">
            <v>160-00716</v>
          </cell>
          <cell r="I202">
            <v>-2</v>
          </cell>
        </row>
        <row r="203">
          <cell r="C203" t="str">
            <v>160-00716</v>
          </cell>
          <cell r="I203">
            <v>-2</v>
          </cell>
        </row>
        <row r="204">
          <cell r="C204" t="str">
            <v/>
          </cell>
          <cell r="I204">
            <v>-323</v>
          </cell>
        </row>
        <row r="205">
          <cell r="C205" t="str">
            <v/>
          </cell>
          <cell r="I205">
            <v>-128</v>
          </cell>
        </row>
        <row r="206">
          <cell r="C206" t="str">
            <v/>
          </cell>
          <cell r="I206">
            <v>-10</v>
          </cell>
        </row>
        <row r="207">
          <cell r="C207" t="str">
            <v/>
          </cell>
          <cell r="I207">
            <v>-29</v>
          </cell>
        </row>
      </sheetData>
      <sheetData sheetId="2"/>
      <sheetData sheetId="3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D1" t="str">
            <v>Micron Part Number</v>
          </cell>
          <cell r="F1" t="str">
            <v>Category</v>
          </cell>
        </row>
        <row r="2">
          <cell r="D2" t="str">
            <v>160-00589</v>
          </cell>
          <cell r="F2" t="str">
            <v>Inventory</v>
          </cell>
        </row>
        <row r="3">
          <cell r="D3" t="str">
            <v>160-00636</v>
          </cell>
          <cell r="F3" t="str">
            <v>Inventory</v>
          </cell>
        </row>
        <row r="4">
          <cell r="D4" t="str">
            <v>160-00589</v>
          </cell>
          <cell r="F4" t="str">
            <v>Inventory</v>
          </cell>
        </row>
        <row r="5">
          <cell r="D5" t="str">
            <v>160-00636</v>
          </cell>
          <cell r="F5" t="str">
            <v>Inventory</v>
          </cell>
        </row>
        <row r="6">
          <cell r="D6" t="str">
            <v>120-50229</v>
          </cell>
          <cell r="F6" t="str">
            <v>Inventory</v>
          </cell>
        </row>
        <row r="7">
          <cell r="D7" t="str">
            <v>120-50229</v>
          </cell>
          <cell r="F7" t="str">
            <v>Inventory</v>
          </cell>
        </row>
        <row r="8">
          <cell r="D8" t="str">
            <v>120-50229</v>
          </cell>
          <cell r="F8" t="str">
            <v>Inventory</v>
          </cell>
        </row>
        <row r="9">
          <cell r="D9" t="str">
            <v>120-50229</v>
          </cell>
          <cell r="F9" t="str">
            <v>Inventory</v>
          </cell>
        </row>
        <row r="10">
          <cell r="D10" t="str">
            <v>120-50229</v>
          </cell>
          <cell r="F10" t="str">
            <v>Inventory</v>
          </cell>
        </row>
        <row r="11">
          <cell r="D11" t="str">
            <v>120-50229</v>
          </cell>
          <cell r="F11" t="str">
            <v>Inventory</v>
          </cell>
        </row>
        <row r="12">
          <cell r="D12" t="str">
            <v>120-50229</v>
          </cell>
          <cell r="F12" t="str">
            <v>Inventory</v>
          </cell>
        </row>
        <row r="13">
          <cell r="D13" t="str">
            <v>120-50229</v>
          </cell>
          <cell r="F13" t="str">
            <v>Inventory</v>
          </cell>
        </row>
        <row r="14">
          <cell r="D14" t="str">
            <v>120-50229</v>
          </cell>
          <cell r="F14" t="str">
            <v>Inventory</v>
          </cell>
        </row>
        <row r="15">
          <cell r="D15" t="str">
            <v>120-50229</v>
          </cell>
          <cell r="F15" t="str">
            <v>Inventory</v>
          </cell>
        </row>
        <row r="16">
          <cell r="D16" t="str">
            <v>120-50229</v>
          </cell>
          <cell r="F16" t="str">
            <v>Inventory</v>
          </cell>
        </row>
        <row r="17">
          <cell r="D17" t="str">
            <v>120-50229</v>
          </cell>
          <cell r="F17" t="str">
            <v>Inventory</v>
          </cell>
        </row>
        <row r="18">
          <cell r="D18" t="str">
            <v>120-50229</v>
          </cell>
          <cell r="F18" t="str">
            <v>Inventory</v>
          </cell>
        </row>
        <row r="19">
          <cell r="D19" t="str">
            <v>120-50229</v>
          </cell>
          <cell r="F19" t="str">
            <v>Inventory</v>
          </cell>
        </row>
        <row r="20">
          <cell r="D20" t="str">
            <v>120-50229</v>
          </cell>
          <cell r="F20" t="str">
            <v>Inventory</v>
          </cell>
        </row>
        <row r="21">
          <cell r="D21" t="str">
            <v>120-50229</v>
          </cell>
          <cell r="F21" t="str">
            <v>Inventory</v>
          </cell>
        </row>
        <row r="22">
          <cell r="D22" t="str">
            <v>120-50229</v>
          </cell>
          <cell r="F22" t="str">
            <v>Inventory</v>
          </cell>
        </row>
        <row r="23">
          <cell r="D23" t="str">
            <v>120-50229</v>
          </cell>
          <cell r="F23" t="str">
            <v>Inventory</v>
          </cell>
        </row>
        <row r="24">
          <cell r="D24" t="str">
            <v>120-50229</v>
          </cell>
          <cell r="F24" t="str">
            <v>Inventory</v>
          </cell>
        </row>
        <row r="25">
          <cell r="D25" t="str">
            <v>120-50229</v>
          </cell>
          <cell r="F25" t="str">
            <v>Inventory</v>
          </cell>
        </row>
        <row r="26">
          <cell r="D26" t="str">
            <v>120-50229</v>
          </cell>
          <cell r="F26" t="str">
            <v>Inventory</v>
          </cell>
        </row>
        <row r="27">
          <cell r="D27" t="str">
            <v>120-50229</v>
          </cell>
          <cell r="F27" t="str">
            <v>Inventory</v>
          </cell>
        </row>
        <row r="28">
          <cell r="D28" t="str">
            <v>120-50229</v>
          </cell>
          <cell r="F28" t="str">
            <v>Inventory</v>
          </cell>
        </row>
        <row r="29">
          <cell r="D29" t="str">
            <v>120-50229</v>
          </cell>
          <cell r="F29" t="str">
            <v>Inventory</v>
          </cell>
        </row>
        <row r="30">
          <cell r="D30" t="str">
            <v>120-50229</v>
          </cell>
          <cell r="F30" t="str">
            <v>Inventory</v>
          </cell>
        </row>
        <row r="31">
          <cell r="D31" t="str">
            <v>120-50229</v>
          </cell>
          <cell r="F31" t="str">
            <v>Inventory</v>
          </cell>
        </row>
        <row r="32">
          <cell r="D32" t="str">
            <v>120-50229</v>
          </cell>
          <cell r="F32" t="str">
            <v>Inventory</v>
          </cell>
        </row>
        <row r="33">
          <cell r="D33" t="str">
            <v>120-50229</v>
          </cell>
          <cell r="F33" t="str">
            <v>Inventory</v>
          </cell>
        </row>
        <row r="34">
          <cell r="D34" t="str">
            <v>120-50229</v>
          </cell>
          <cell r="F34" t="str">
            <v>Inventory</v>
          </cell>
        </row>
        <row r="35">
          <cell r="D35" t="str">
            <v>120-50229</v>
          </cell>
          <cell r="F35" t="str">
            <v>Inventory</v>
          </cell>
        </row>
        <row r="36">
          <cell r="D36" t="str">
            <v>120-50229</v>
          </cell>
          <cell r="F36" t="str">
            <v>Inventory</v>
          </cell>
        </row>
        <row r="37">
          <cell r="D37" t="str">
            <v>120-50229</v>
          </cell>
          <cell r="F37" t="str">
            <v>Inventory</v>
          </cell>
        </row>
        <row r="38">
          <cell r="D38" t="str">
            <v>120-50229</v>
          </cell>
          <cell r="F38" t="str">
            <v>Inventory</v>
          </cell>
        </row>
        <row r="39">
          <cell r="D39" t="str">
            <v>120-50229</v>
          </cell>
          <cell r="F39" t="str">
            <v>Inventory</v>
          </cell>
        </row>
        <row r="40">
          <cell r="D40" t="str">
            <v>120-50229</v>
          </cell>
          <cell r="F40" t="str">
            <v>Inventory</v>
          </cell>
        </row>
        <row r="41">
          <cell r="D41" t="str">
            <v>120-50229</v>
          </cell>
          <cell r="F41" t="str">
            <v>Inventory</v>
          </cell>
        </row>
        <row r="42">
          <cell r="D42" t="str">
            <v>120-50229</v>
          </cell>
          <cell r="F42" t="str">
            <v>Inventory</v>
          </cell>
        </row>
        <row r="43">
          <cell r="D43" t="str">
            <v>120-50229</v>
          </cell>
          <cell r="F43" t="str">
            <v>Inventory</v>
          </cell>
        </row>
        <row r="44">
          <cell r="D44" t="str">
            <v>120-50229</v>
          </cell>
          <cell r="F44" t="str">
            <v>Inventory</v>
          </cell>
        </row>
        <row r="45">
          <cell r="D45" t="str">
            <v>120-50229</v>
          </cell>
          <cell r="F45" t="str">
            <v>Inventory</v>
          </cell>
        </row>
        <row r="46">
          <cell r="D46" t="str">
            <v>120-50229</v>
          </cell>
          <cell r="F46" t="str">
            <v>Inventory</v>
          </cell>
        </row>
        <row r="47">
          <cell r="D47" t="str">
            <v>120-50229</v>
          </cell>
          <cell r="F47" t="str">
            <v>Inventory</v>
          </cell>
        </row>
        <row r="48">
          <cell r="D48" t="str">
            <v>120-50229</v>
          </cell>
          <cell r="F48" t="str">
            <v>Inventory</v>
          </cell>
        </row>
        <row r="49">
          <cell r="D49" t="str">
            <v>120-50229</v>
          </cell>
          <cell r="F49" t="str">
            <v>New Shipment</v>
          </cell>
        </row>
        <row r="50">
          <cell r="D50" t="str">
            <v>120-50229</v>
          </cell>
          <cell r="F50" t="str">
            <v>New Shipment</v>
          </cell>
        </row>
        <row r="51">
          <cell r="D51" t="str">
            <v>120-50229</v>
          </cell>
          <cell r="F51" t="str">
            <v>New Shipment</v>
          </cell>
        </row>
        <row r="52">
          <cell r="D52" t="str">
            <v>120-50229</v>
          </cell>
          <cell r="F52" t="str">
            <v>New Shipment</v>
          </cell>
        </row>
        <row r="53">
          <cell r="D53" t="str">
            <v>120-50229</v>
          </cell>
          <cell r="F53" t="str">
            <v>New Shipment</v>
          </cell>
        </row>
        <row r="54">
          <cell r="D54" t="str">
            <v>120-50229</v>
          </cell>
          <cell r="F54" t="str">
            <v>New Shipment</v>
          </cell>
        </row>
        <row r="55">
          <cell r="D55" t="str">
            <v>120-50229</v>
          </cell>
          <cell r="F55" t="str">
            <v>New Shipment</v>
          </cell>
        </row>
        <row r="56">
          <cell r="D56" t="str">
            <v>120-50229</v>
          </cell>
          <cell r="F56" t="str">
            <v>New Shipment</v>
          </cell>
        </row>
        <row r="57">
          <cell r="D57" t="str">
            <v>120-50229</v>
          </cell>
          <cell r="F57" t="str">
            <v>New Shipment</v>
          </cell>
        </row>
        <row r="58">
          <cell r="D58" t="str">
            <v>120-50229</v>
          </cell>
          <cell r="F58" t="str">
            <v>New Shipment</v>
          </cell>
        </row>
        <row r="59">
          <cell r="D59" t="str">
            <v>120-50229</v>
          </cell>
          <cell r="F59" t="str">
            <v>New Shipment</v>
          </cell>
        </row>
        <row r="60">
          <cell r="D60" t="str">
            <v>120-50229</v>
          </cell>
          <cell r="F60" t="str">
            <v>New Shipment</v>
          </cell>
        </row>
        <row r="61">
          <cell r="D61" t="str">
            <v>120-50229</v>
          </cell>
          <cell r="F61" t="str">
            <v>New Shipment</v>
          </cell>
        </row>
        <row r="62">
          <cell r="D62" t="str">
            <v>120-50229</v>
          </cell>
          <cell r="F62" t="str">
            <v>New Shipment</v>
          </cell>
        </row>
        <row r="63">
          <cell r="D63" t="str">
            <v>120-50229</v>
          </cell>
          <cell r="F63" t="str">
            <v>New Shipment</v>
          </cell>
        </row>
        <row r="64">
          <cell r="D64" t="str">
            <v>120-50229</v>
          </cell>
          <cell r="F64" t="str">
            <v>New Shipment</v>
          </cell>
        </row>
        <row r="65">
          <cell r="D65" t="str">
            <v>120-50229</v>
          </cell>
          <cell r="F65" t="str">
            <v>New Shipment</v>
          </cell>
        </row>
        <row r="66">
          <cell r="D66" t="str">
            <v>120-50229</v>
          </cell>
          <cell r="F66" t="str">
            <v>New Shipment</v>
          </cell>
        </row>
        <row r="67">
          <cell r="D67" t="str">
            <v>120-50229</v>
          </cell>
          <cell r="F67" t="str">
            <v>New Shipment</v>
          </cell>
        </row>
        <row r="68">
          <cell r="D68" t="str">
            <v>120-50229</v>
          </cell>
          <cell r="F68" t="str">
            <v>New Shipment</v>
          </cell>
        </row>
        <row r="69">
          <cell r="D69" t="str">
            <v>120-50229</v>
          </cell>
          <cell r="F69" t="str">
            <v>New Shipment</v>
          </cell>
        </row>
        <row r="70">
          <cell r="D70" t="str">
            <v>120-50229</v>
          </cell>
          <cell r="F70" t="str">
            <v>New Shipment</v>
          </cell>
        </row>
        <row r="71">
          <cell r="D71" t="str">
            <v>120-50229</v>
          </cell>
          <cell r="F71" t="str">
            <v>New Shipment</v>
          </cell>
        </row>
        <row r="72">
          <cell r="D72" t="str">
            <v>120-50229</v>
          </cell>
          <cell r="F72" t="str">
            <v>New Shipment</v>
          </cell>
        </row>
        <row r="73">
          <cell r="D73" t="str">
            <v>120-50229</v>
          </cell>
          <cell r="F73" t="str">
            <v>New Shipment</v>
          </cell>
        </row>
        <row r="74">
          <cell r="D74" t="e">
            <v>#N/A</v>
          </cell>
          <cell r="F74" t="str">
            <v>Inventory</v>
          </cell>
        </row>
        <row r="75">
          <cell r="D75" t="e">
            <v>#N/A</v>
          </cell>
          <cell r="F75" t="str">
            <v>Inventory</v>
          </cell>
        </row>
        <row r="76">
          <cell r="D76" t="str">
            <v>120-50410</v>
          </cell>
          <cell r="F76" t="str">
            <v>Inventory</v>
          </cell>
        </row>
        <row r="77">
          <cell r="D77" t="str">
            <v>140-00977</v>
          </cell>
          <cell r="F77" t="str">
            <v>Inventory</v>
          </cell>
        </row>
        <row r="78">
          <cell r="D78" t="str">
            <v>140-00977</v>
          </cell>
          <cell r="F78" t="str">
            <v>Inventory</v>
          </cell>
        </row>
        <row r="79">
          <cell r="D79" t="str">
            <v>140-00977</v>
          </cell>
          <cell r="F79" t="str">
            <v>Inventory</v>
          </cell>
        </row>
        <row r="80">
          <cell r="D80" t="str">
            <v>140-00985</v>
          </cell>
          <cell r="F80" t="str">
            <v>Inventory</v>
          </cell>
        </row>
        <row r="81">
          <cell r="D81" t="str">
            <v>140-00985</v>
          </cell>
          <cell r="F81" t="str">
            <v>Inventory</v>
          </cell>
        </row>
        <row r="82">
          <cell r="D82" t="str">
            <v>140-00985</v>
          </cell>
          <cell r="F82" t="str">
            <v>Inventory</v>
          </cell>
        </row>
        <row r="83">
          <cell r="D83" t="str">
            <v>140-00985</v>
          </cell>
          <cell r="F83" t="str">
            <v>Inventory</v>
          </cell>
        </row>
        <row r="84">
          <cell r="D84" t="str">
            <v>140-00985</v>
          </cell>
          <cell r="F84" t="str">
            <v>Inventory</v>
          </cell>
        </row>
        <row r="85">
          <cell r="D85" t="str">
            <v>140-00985</v>
          </cell>
          <cell r="F85" t="str">
            <v>Inventory</v>
          </cell>
        </row>
        <row r="86">
          <cell r="D86" t="str">
            <v>140-00985</v>
          </cell>
          <cell r="F86" t="str">
            <v>Inventory</v>
          </cell>
        </row>
        <row r="87">
          <cell r="D87" t="str">
            <v>140-00985</v>
          </cell>
          <cell r="F87" t="str">
            <v>Inventory</v>
          </cell>
        </row>
        <row r="88">
          <cell r="D88" t="str">
            <v>140-00985</v>
          </cell>
          <cell r="F88" t="str">
            <v>Inventory</v>
          </cell>
        </row>
        <row r="89">
          <cell r="D89" t="str">
            <v>140-00985</v>
          </cell>
          <cell r="F89" t="str">
            <v>Inventory</v>
          </cell>
        </row>
        <row r="90">
          <cell r="D90" t="str">
            <v>140-00985</v>
          </cell>
          <cell r="F90" t="str">
            <v>Inventory</v>
          </cell>
        </row>
        <row r="91">
          <cell r="D91" t="str">
            <v>140-00985</v>
          </cell>
          <cell r="F91" t="str">
            <v>Inventory</v>
          </cell>
        </row>
        <row r="92">
          <cell r="D92" t="str">
            <v>140-03068</v>
          </cell>
          <cell r="F92" t="str">
            <v>Inventory</v>
          </cell>
        </row>
        <row r="93">
          <cell r="D93" t="str">
            <v>140-03068</v>
          </cell>
          <cell r="F93" t="str">
            <v>Inventory</v>
          </cell>
        </row>
        <row r="94">
          <cell r="D94" t="str">
            <v>140-03068</v>
          </cell>
          <cell r="F94" t="str">
            <v>Inventory</v>
          </cell>
        </row>
        <row r="95">
          <cell r="D95" t="str">
            <v>140-03068</v>
          </cell>
          <cell r="F95" t="str">
            <v>Inventory</v>
          </cell>
        </row>
        <row r="96">
          <cell r="D96" t="str">
            <v>140-03068</v>
          </cell>
          <cell r="F96" t="str">
            <v>Inventory</v>
          </cell>
        </row>
        <row r="97">
          <cell r="D97" t="str">
            <v>140-01161</v>
          </cell>
          <cell r="F97" t="str">
            <v>Inventory</v>
          </cell>
        </row>
        <row r="98">
          <cell r="D98" t="str">
            <v>140-01161</v>
          </cell>
          <cell r="F98" t="str">
            <v>Inventory</v>
          </cell>
        </row>
        <row r="99">
          <cell r="D99" t="str">
            <v>140-01161</v>
          </cell>
          <cell r="F99" t="str">
            <v>Inventory</v>
          </cell>
        </row>
        <row r="100">
          <cell r="D100" t="str">
            <v>140-01161</v>
          </cell>
          <cell r="F100" t="str">
            <v>Inventory</v>
          </cell>
        </row>
        <row r="101">
          <cell r="D101" t="str">
            <v>140-01161</v>
          </cell>
          <cell r="F101" t="str">
            <v>Inventory</v>
          </cell>
        </row>
        <row r="102">
          <cell r="D102" t="str">
            <v>130-00874</v>
          </cell>
          <cell r="F102" t="str">
            <v>Inventory</v>
          </cell>
        </row>
        <row r="103">
          <cell r="D103" t="str">
            <v>130-00870</v>
          </cell>
          <cell r="F103" t="str">
            <v>Inventory</v>
          </cell>
        </row>
        <row r="104">
          <cell r="D104" t="str">
            <v>130-00336</v>
          </cell>
          <cell r="F104" t="str">
            <v>Inventory</v>
          </cell>
        </row>
        <row r="105">
          <cell r="D105" t="str">
            <v>130-00634</v>
          </cell>
          <cell r="F105" t="str">
            <v>Inventory</v>
          </cell>
        </row>
        <row r="106">
          <cell r="D106" t="str">
            <v>130-00634</v>
          </cell>
          <cell r="F106" t="str">
            <v>Inventory</v>
          </cell>
        </row>
        <row r="107">
          <cell r="D107" t="str">
            <v>130-00945</v>
          </cell>
          <cell r="F107" t="str">
            <v>Inventory</v>
          </cell>
        </row>
        <row r="108">
          <cell r="D108" t="str">
            <v>130-00945</v>
          </cell>
          <cell r="F108" t="str">
            <v>Inventory</v>
          </cell>
        </row>
        <row r="109">
          <cell r="D109" t="str">
            <v>130-01379</v>
          </cell>
          <cell r="F109" t="str">
            <v>Inventory</v>
          </cell>
        </row>
        <row r="110">
          <cell r="D110" t="str">
            <v>130-01379</v>
          </cell>
          <cell r="F110" t="str">
            <v>Inventory</v>
          </cell>
        </row>
        <row r="111">
          <cell r="D111" t="str">
            <v>130-00875</v>
          </cell>
          <cell r="F111" t="str">
            <v>Inventory</v>
          </cell>
        </row>
        <row r="112">
          <cell r="D112" t="str">
            <v>130-00878</v>
          </cell>
          <cell r="F112" t="str">
            <v>Inventory</v>
          </cell>
        </row>
        <row r="113">
          <cell r="D113" t="str">
            <v>130-00052</v>
          </cell>
          <cell r="F113" t="str">
            <v>Inventory</v>
          </cell>
        </row>
        <row r="114">
          <cell r="D114" t="str">
            <v>130-00724</v>
          </cell>
          <cell r="F114" t="str">
            <v>Inventory</v>
          </cell>
        </row>
        <row r="115">
          <cell r="D115" t="str">
            <v>130-00896</v>
          </cell>
          <cell r="F115" t="str">
            <v>Inventory</v>
          </cell>
        </row>
        <row r="116">
          <cell r="D116" t="str">
            <v>130-01389</v>
          </cell>
          <cell r="F116" t="str">
            <v>Inventory</v>
          </cell>
        </row>
        <row r="117">
          <cell r="D117" t="str">
            <v>130-01389</v>
          </cell>
          <cell r="F117" t="str">
            <v>Inventory</v>
          </cell>
        </row>
        <row r="118">
          <cell r="D118" t="str">
            <v>130-01389</v>
          </cell>
          <cell r="F118" t="str">
            <v>Inventory</v>
          </cell>
        </row>
        <row r="119">
          <cell r="D119" t="str">
            <v>130-01389</v>
          </cell>
          <cell r="F119" t="str">
            <v>Inventory</v>
          </cell>
        </row>
        <row r="120">
          <cell r="D120" t="str">
            <v>130-01519</v>
          </cell>
          <cell r="F120" t="str">
            <v>Inventory</v>
          </cell>
        </row>
        <row r="121">
          <cell r="D121" t="str">
            <v>130-01519</v>
          </cell>
          <cell r="F121" t="str">
            <v>Inventory</v>
          </cell>
        </row>
        <row r="122">
          <cell r="D122" t="str">
            <v>130-01519</v>
          </cell>
          <cell r="F122" t="str">
            <v>Inventory</v>
          </cell>
        </row>
        <row r="123">
          <cell r="D123" t="str">
            <v>130-01519</v>
          </cell>
          <cell r="F123" t="str">
            <v>Inventory</v>
          </cell>
        </row>
        <row r="124">
          <cell r="D124" t="str">
            <v>130-01385</v>
          </cell>
          <cell r="F124" t="str">
            <v>Inventory</v>
          </cell>
        </row>
        <row r="125">
          <cell r="D125" t="str">
            <v>130-01385</v>
          </cell>
          <cell r="F125" t="str">
            <v>Inventory</v>
          </cell>
        </row>
        <row r="126">
          <cell r="D126" t="str">
            <v>130-01384</v>
          </cell>
          <cell r="F126" t="str">
            <v>Inventory</v>
          </cell>
        </row>
        <row r="127">
          <cell r="D127" t="str">
            <v>130-01384</v>
          </cell>
          <cell r="F127" t="str">
            <v>Inventory</v>
          </cell>
        </row>
        <row r="128">
          <cell r="D128" t="str">
            <v>130-01420</v>
          </cell>
          <cell r="F128" t="str">
            <v>Inventory</v>
          </cell>
        </row>
        <row r="129">
          <cell r="D129" t="str">
            <v>130-01510</v>
          </cell>
          <cell r="F129" t="str">
            <v>Inventory</v>
          </cell>
        </row>
        <row r="130">
          <cell r="D130" t="str">
            <v>130-01510</v>
          </cell>
          <cell r="F130" t="str">
            <v>Inventory</v>
          </cell>
        </row>
        <row r="131">
          <cell r="D131" t="str">
            <v>130-01510</v>
          </cell>
          <cell r="F131" t="str">
            <v>Inventory</v>
          </cell>
        </row>
        <row r="132">
          <cell r="D132" t="str">
            <v>120-50331</v>
          </cell>
          <cell r="F132" t="str">
            <v>Inventory</v>
          </cell>
        </row>
        <row r="133">
          <cell r="D133" t="str">
            <v>120-50331</v>
          </cell>
          <cell r="F133" t="str">
            <v>Inventory</v>
          </cell>
        </row>
        <row r="134">
          <cell r="D134" t="str">
            <v>120-50331</v>
          </cell>
          <cell r="F134" t="str">
            <v>Inventory</v>
          </cell>
        </row>
        <row r="135">
          <cell r="D135" t="str">
            <v>120-50331</v>
          </cell>
          <cell r="F135" t="str">
            <v>Inventory</v>
          </cell>
        </row>
        <row r="136">
          <cell r="D136" t="str">
            <v>120-50331</v>
          </cell>
          <cell r="F136" t="str">
            <v>Inventory</v>
          </cell>
        </row>
        <row r="137">
          <cell r="D137" t="str">
            <v>120-50331</v>
          </cell>
          <cell r="F137" t="str">
            <v>Inventory</v>
          </cell>
        </row>
        <row r="138">
          <cell r="D138" t="str">
            <v>120-50331</v>
          </cell>
          <cell r="F138" t="str">
            <v>Inventory</v>
          </cell>
        </row>
        <row r="139">
          <cell r="D139" t="str">
            <v>120-50331</v>
          </cell>
          <cell r="F139" t="str">
            <v>Inventory</v>
          </cell>
        </row>
        <row r="140">
          <cell r="D140" t="str">
            <v>120-50331</v>
          </cell>
          <cell r="F140" t="str">
            <v>Inventory</v>
          </cell>
        </row>
        <row r="141">
          <cell r="D141" t="str">
            <v>120-50331</v>
          </cell>
          <cell r="F141" t="str">
            <v>Inventory</v>
          </cell>
        </row>
        <row r="142">
          <cell r="D142" t="str">
            <v>120-50331</v>
          </cell>
          <cell r="F142" t="str">
            <v>Inventory</v>
          </cell>
        </row>
        <row r="143">
          <cell r="D143" t="str">
            <v>120-50331</v>
          </cell>
          <cell r="F143" t="str">
            <v>Inventory</v>
          </cell>
        </row>
        <row r="144">
          <cell r="D144" t="str">
            <v>120-50331</v>
          </cell>
          <cell r="F144" t="str">
            <v>Inventory</v>
          </cell>
        </row>
        <row r="145">
          <cell r="D145" t="str">
            <v>120-50331</v>
          </cell>
          <cell r="F145" t="str">
            <v>Inventory</v>
          </cell>
        </row>
        <row r="146">
          <cell r="D146" t="str">
            <v>120-50331</v>
          </cell>
          <cell r="F146" t="str">
            <v>Inventory</v>
          </cell>
        </row>
        <row r="147">
          <cell r="D147" t="str">
            <v>120-50331</v>
          </cell>
          <cell r="F147" t="str">
            <v>Inventory</v>
          </cell>
        </row>
        <row r="148">
          <cell r="D148" t="str">
            <v>120-50331</v>
          </cell>
          <cell r="F148" t="str">
            <v>Inventory</v>
          </cell>
        </row>
        <row r="149">
          <cell r="D149" t="str">
            <v>120-50331</v>
          </cell>
          <cell r="F149" t="str">
            <v>Inventory</v>
          </cell>
        </row>
        <row r="150">
          <cell r="D150" t="str">
            <v>120-50331</v>
          </cell>
          <cell r="F150" t="str">
            <v>Inventory</v>
          </cell>
        </row>
        <row r="151">
          <cell r="D151" t="str">
            <v>120-50331</v>
          </cell>
          <cell r="F151" t="str">
            <v>Inventory</v>
          </cell>
        </row>
        <row r="152">
          <cell r="D152" t="str">
            <v>120-50331</v>
          </cell>
          <cell r="F152" t="str">
            <v>Inventory</v>
          </cell>
        </row>
        <row r="153">
          <cell r="D153" t="str">
            <v>120-50331</v>
          </cell>
          <cell r="F153" t="str">
            <v>Inventory</v>
          </cell>
        </row>
        <row r="154">
          <cell r="D154" t="str">
            <v>120-50331</v>
          </cell>
          <cell r="F154" t="str">
            <v>Inventory</v>
          </cell>
        </row>
        <row r="155">
          <cell r="D155" t="str">
            <v>120-50331</v>
          </cell>
          <cell r="F155" t="str">
            <v>Inventory</v>
          </cell>
        </row>
        <row r="156">
          <cell r="D156" t="str">
            <v>120-50331</v>
          </cell>
          <cell r="F156" t="str">
            <v>Inventory</v>
          </cell>
        </row>
        <row r="157">
          <cell r="D157" t="str">
            <v>120-50331</v>
          </cell>
          <cell r="F157" t="str">
            <v>Inventory</v>
          </cell>
        </row>
        <row r="158">
          <cell r="D158" t="str">
            <v>120-50331</v>
          </cell>
          <cell r="F158" t="str">
            <v>Inventory</v>
          </cell>
        </row>
        <row r="159">
          <cell r="D159" t="str">
            <v>120-50331</v>
          </cell>
          <cell r="F159" t="str">
            <v>Inventory</v>
          </cell>
        </row>
        <row r="160">
          <cell r="D160" t="str">
            <v>120-50331</v>
          </cell>
          <cell r="F160" t="str">
            <v>Inventory</v>
          </cell>
        </row>
        <row r="161">
          <cell r="D161" t="str">
            <v>120-50331</v>
          </cell>
          <cell r="F161" t="str">
            <v>Inventory</v>
          </cell>
        </row>
        <row r="162">
          <cell r="D162" t="str">
            <v>120-50331</v>
          </cell>
          <cell r="F162" t="str">
            <v>Inventory</v>
          </cell>
        </row>
        <row r="163">
          <cell r="D163" t="str">
            <v>120-50331</v>
          </cell>
          <cell r="F163" t="str">
            <v>Inventory</v>
          </cell>
        </row>
        <row r="164">
          <cell r="D164" t="str">
            <v>120-50331</v>
          </cell>
          <cell r="F164" t="str">
            <v>Inventory</v>
          </cell>
        </row>
        <row r="165">
          <cell r="D165" t="str">
            <v>120-50331</v>
          </cell>
          <cell r="F165" t="str">
            <v>Inventory</v>
          </cell>
        </row>
        <row r="166">
          <cell r="D166" t="str">
            <v>120-50331</v>
          </cell>
          <cell r="F166" t="str">
            <v>Inventory</v>
          </cell>
        </row>
        <row r="167">
          <cell r="D167" t="str">
            <v>120-50331</v>
          </cell>
          <cell r="F167" t="str">
            <v>Inventory</v>
          </cell>
        </row>
        <row r="168">
          <cell r="D168" t="str">
            <v>120-50331</v>
          </cell>
          <cell r="F168" t="str">
            <v>Inventory</v>
          </cell>
        </row>
        <row r="169">
          <cell r="D169" t="str">
            <v>120-50331</v>
          </cell>
          <cell r="F169" t="str">
            <v>Inventory</v>
          </cell>
        </row>
        <row r="170">
          <cell r="D170" t="str">
            <v>120-50331</v>
          </cell>
          <cell r="F170" t="str">
            <v>Inventory</v>
          </cell>
        </row>
        <row r="171">
          <cell r="D171" t="str">
            <v>120-50331</v>
          </cell>
          <cell r="F171" t="str">
            <v>Inventory</v>
          </cell>
        </row>
        <row r="172">
          <cell r="D172" t="str">
            <v>120-50331</v>
          </cell>
          <cell r="F172" t="str">
            <v>Inventory</v>
          </cell>
        </row>
        <row r="173">
          <cell r="D173" t="str">
            <v>120-50331</v>
          </cell>
          <cell r="F173" t="str">
            <v>Inventory</v>
          </cell>
        </row>
        <row r="174">
          <cell r="D174" t="str">
            <v>120-50331</v>
          </cell>
          <cell r="F174" t="str">
            <v>Inventory</v>
          </cell>
        </row>
        <row r="175">
          <cell r="D175" t="str">
            <v>120-50330</v>
          </cell>
          <cell r="F175" t="str">
            <v>Inventory</v>
          </cell>
        </row>
        <row r="176">
          <cell r="D176" t="str">
            <v>120-50330</v>
          </cell>
          <cell r="F176" t="str">
            <v>Inventory</v>
          </cell>
        </row>
        <row r="177">
          <cell r="D177" t="str">
            <v>130-00873</v>
          </cell>
          <cell r="F177" t="str">
            <v>Inventory</v>
          </cell>
        </row>
        <row r="178">
          <cell r="D178" t="str">
            <v>130-00873</v>
          </cell>
          <cell r="F178" t="str">
            <v>Inventory</v>
          </cell>
        </row>
        <row r="179">
          <cell r="D179" t="str">
            <v>130-00873</v>
          </cell>
          <cell r="F179" t="str">
            <v>Inventory</v>
          </cell>
        </row>
        <row r="180">
          <cell r="D180" t="str">
            <v>130-00873</v>
          </cell>
          <cell r="F180" t="str">
            <v>Inventory</v>
          </cell>
        </row>
        <row r="181">
          <cell r="D181" t="str">
            <v>130-00873</v>
          </cell>
          <cell r="F181" t="str">
            <v>Inventory</v>
          </cell>
        </row>
        <row r="182">
          <cell r="D182" t="str">
            <v>130-00795</v>
          </cell>
          <cell r="F182" t="str">
            <v>Inventory</v>
          </cell>
        </row>
        <row r="183">
          <cell r="D183" t="str">
            <v>130-01670</v>
          </cell>
          <cell r="F183" t="str">
            <v>Inventory</v>
          </cell>
        </row>
        <row r="184">
          <cell r="D184" t="str">
            <v>130-01670</v>
          </cell>
          <cell r="F184" t="str">
            <v>Inventory</v>
          </cell>
        </row>
        <row r="185">
          <cell r="D185" t="str">
            <v>130-01670</v>
          </cell>
          <cell r="F185" t="str">
            <v>Inventory</v>
          </cell>
        </row>
        <row r="186">
          <cell r="D186" t="str">
            <v>130-01670</v>
          </cell>
          <cell r="F186" t="str">
            <v>Inventory</v>
          </cell>
        </row>
        <row r="187">
          <cell r="D187" t="str">
            <v>130-01670</v>
          </cell>
          <cell r="F187" t="str">
            <v>Inventory</v>
          </cell>
        </row>
        <row r="188">
          <cell r="D188" t="str">
            <v>130-01363</v>
          </cell>
          <cell r="F188" t="str">
            <v>Inventory</v>
          </cell>
        </row>
        <row r="189">
          <cell r="D189" t="str">
            <v>130-01363</v>
          </cell>
          <cell r="F189" t="str">
            <v>Inventory</v>
          </cell>
        </row>
        <row r="190">
          <cell r="D190" t="str">
            <v>130-01363</v>
          </cell>
          <cell r="F190" t="str">
            <v>Inventory</v>
          </cell>
        </row>
        <row r="191">
          <cell r="D191" t="str">
            <v>130-01363</v>
          </cell>
          <cell r="F191" t="str">
            <v>Inventory</v>
          </cell>
        </row>
        <row r="192">
          <cell r="D192" t="str">
            <v>130-01829</v>
          </cell>
          <cell r="F192" t="str">
            <v>Inventory</v>
          </cell>
        </row>
        <row r="193">
          <cell r="D193" t="str">
            <v>130-01829</v>
          </cell>
          <cell r="F193" t="str">
            <v>Inventory</v>
          </cell>
        </row>
        <row r="194">
          <cell r="D194" t="str">
            <v>130-00837</v>
          </cell>
          <cell r="F194" t="str">
            <v>Inventory</v>
          </cell>
        </row>
        <row r="195">
          <cell r="D195" t="str">
            <v>130-00837</v>
          </cell>
          <cell r="F195" t="str">
            <v>Inventory</v>
          </cell>
        </row>
        <row r="196">
          <cell r="D196" t="str">
            <v>130-00837</v>
          </cell>
          <cell r="F196" t="str">
            <v>Inventory</v>
          </cell>
        </row>
        <row r="197">
          <cell r="D197" t="str">
            <v>130-01359</v>
          </cell>
          <cell r="F197" t="str">
            <v>Inventory</v>
          </cell>
        </row>
        <row r="198">
          <cell r="D198" t="str">
            <v>130-01359</v>
          </cell>
          <cell r="F198" t="str">
            <v>Inventory</v>
          </cell>
        </row>
        <row r="199">
          <cell r="D199" t="str">
            <v>130-01359</v>
          </cell>
          <cell r="F199" t="str">
            <v>Inventory</v>
          </cell>
        </row>
        <row r="200">
          <cell r="D200" t="str">
            <v>130-01390</v>
          </cell>
          <cell r="F200" t="str">
            <v>Inventory</v>
          </cell>
        </row>
        <row r="201">
          <cell r="D201" t="str">
            <v>130-01390</v>
          </cell>
          <cell r="F201" t="str">
            <v>Inventory</v>
          </cell>
        </row>
        <row r="202">
          <cell r="D202" t="str">
            <v>130-01387</v>
          </cell>
          <cell r="F202" t="str">
            <v>Inventory</v>
          </cell>
        </row>
        <row r="203">
          <cell r="D203" t="str">
            <v>130-01387</v>
          </cell>
          <cell r="F203" t="str">
            <v>Inventory</v>
          </cell>
        </row>
        <row r="204">
          <cell r="D204" t="str">
            <v>130-00811</v>
          </cell>
          <cell r="F204" t="str">
            <v>Inventory</v>
          </cell>
        </row>
        <row r="205">
          <cell r="D205" t="str">
            <v>130-00811</v>
          </cell>
          <cell r="F205" t="str">
            <v>Inventory</v>
          </cell>
        </row>
        <row r="206">
          <cell r="D206" t="str">
            <v>130-00811</v>
          </cell>
          <cell r="F206" t="str">
            <v>Inventory</v>
          </cell>
        </row>
        <row r="207">
          <cell r="D207" t="str">
            <v>130-00320</v>
          </cell>
          <cell r="F207" t="str">
            <v>Inventory</v>
          </cell>
        </row>
        <row r="208">
          <cell r="D208" t="str">
            <v>130-00320</v>
          </cell>
          <cell r="F208" t="str">
            <v>Inventory</v>
          </cell>
        </row>
        <row r="209">
          <cell r="D209" t="str">
            <v>130-00320</v>
          </cell>
          <cell r="F209" t="str">
            <v>Inventory</v>
          </cell>
        </row>
        <row r="210">
          <cell r="D210" t="str">
            <v>130-00320</v>
          </cell>
          <cell r="F210" t="str">
            <v>Inventory</v>
          </cell>
        </row>
        <row r="211">
          <cell r="D211" t="str">
            <v>130-01827</v>
          </cell>
          <cell r="F211" t="str">
            <v>Inventory</v>
          </cell>
        </row>
        <row r="212">
          <cell r="D212" t="str">
            <v>130-01827</v>
          </cell>
          <cell r="F212" t="str">
            <v>Inventory</v>
          </cell>
        </row>
        <row r="213">
          <cell r="D213" t="str">
            <v>130-00236</v>
          </cell>
          <cell r="F213" t="str">
            <v>Inventory</v>
          </cell>
        </row>
        <row r="214">
          <cell r="D214" t="str">
            <v>130-00236</v>
          </cell>
          <cell r="F214" t="str">
            <v>Inventory</v>
          </cell>
        </row>
        <row r="215">
          <cell r="D215" t="str">
            <v>130-00236</v>
          </cell>
          <cell r="F215" t="str">
            <v>Inventory</v>
          </cell>
        </row>
        <row r="216">
          <cell r="D216" t="str">
            <v>130-00236</v>
          </cell>
          <cell r="F216" t="str">
            <v>Inventory</v>
          </cell>
        </row>
        <row r="217">
          <cell r="D217" t="str">
            <v>130-00236</v>
          </cell>
          <cell r="F217" t="str">
            <v>Inventory</v>
          </cell>
        </row>
        <row r="218">
          <cell r="D218" t="str">
            <v>140-01321</v>
          </cell>
          <cell r="F218" t="str">
            <v>Inventory</v>
          </cell>
        </row>
        <row r="219">
          <cell r="D219" t="str">
            <v>140-01599</v>
          </cell>
          <cell r="F219" t="str">
            <v>Inventory</v>
          </cell>
        </row>
        <row r="220">
          <cell r="D220" t="str">
            <v>140-01599</v>
          </cell>
          <cell r="F220" t="str">
            <v>Inventory</v>
          </cell>
        </row>
        <row r="221">
          <cell r="D221" t="str">
            <v>140-00833</v>
          </cell>
          <cell r="F221" t="str">
            <v>Inventory</v>
          </cell>
        </row>
        <row r="222">
          <cell r="D222" t="str">
            <v>140-00833</v>
          </cell>
          <cell r="F222" t="str">
            <v>Inventory</v>
          </cell>
        </row>
        <row r="223">
          <cell r="D223" t="str">
            <v>140‐03232</v>
          </cell>
          <cell r="F223" t="str">
            <v>Inventory</v>
          </cell>
        </row>
        <row r="224">
          <cell r="D224" t="str">
            <v>140‐03232</v>
          </cell>
          <cell r="F224" t="str">
            <v>Inventory</v>
          </cell>
        </row>
        <row r="225">
          <cell r="D225" t="str">
            <v>140-01321</v>
          </cell>
          <cell r="F225" t="str">
            <v>Inventory</v>
          </cell>
        </row>
        <row r="226">
          <cell r="D226" t="str">
            <v>140-01321</v>
          </cell>
          <cell r="F226" t="str">
            <v>Inventory</v>
          </cell>
        </row>
        <row r="227">
          <cell r="D227" t="str">
            <v>140-01321</v>
          </cell>
          <cell r="F227" t="str">
            <v>Inventory</v>
          </cell>
        </row>
        <row r="228">
          <cell r="D228" t="str">
            <v>120-50141</v>
          </cell>
          <cell r="F228" t="str">
            <v>Inventory</v>
          </cell>
        </row>
        <row r="229">
          <cell r="D229" t="str">
            <v>120-50141</v>
          </cell>
          <cell r="F229" t="str">
            <v>Inventory</v>
          </cell>
        </row>
        <row r="230">
          <cell r="D230" t="str">
            <v>120-50141</v>
          </cell>
          <cell r="F230" t="str">
            <v>Inventory</v>
          </cell>
        </row>
        <row r="231">
          <cell r="D231" t="str">
            <v>120-50141</v>
          </cell>
          <cell r="F231" t="str">
            <v>Inventory</v>
          </cell>
        </row>
        <row r="232">
          <cell r="D232" t="str">
            <v>120-50141</v>
          </cell>
          <cell r="F232" t="str">
            <v>Inventory</v>
          </cell>
        </row>
        <row r="233">
          <cell r="D233" t="str">
            <v>120-50409</v>
          </cell>
          <cell r="F233" t="str">
            <v>Inventory</v>
          </cell>
        </row>
        <row r="234">
          <cell r="D234" t="str">
            <v>120-50409</v>
          </cell>
          <cell r="F234" t="str">
            <v>Inventory</v>
          </cell>
        </row>
        <row r="235">
          <cell r="D235" t="str">
            <v>120-50129</v>
          </cell>
          <cell r="F235" t="str">
            <v>Inventory</v>
          </cell>
        </row>
        <row r="236">
          <cell r="D236" t="str">
            <v>120-50129</v>
          </cell>
          <cell r="F236" t="str">
            <v>Inventory</v>
          </cell>
        </row>
        <row r="237">
          <cell r="D237" t="str">
            <v>120-50129</v>
          </cell>
          <cell r="F237" t="str">
            <v>Inventory</v>
          </cell>
        </row>
        <row r="238">
          <cell r="D238" t="str">
            <v>120-50129</v>
          </cell>
          <cell r="F238" t="str">
            <v>Inventory</v>
          </cell>
        </row>
        <row r="239">
          <cell r="D239" t="str">
            <v>120-50129</v>
          </cell>
          <cell r="F239" t="str">
            <v>Inventory</v>
          </cell>
        </row>
        <row r="240">
          <cell r="D240" t="str">
            <v>120-50129</v>
          </cell>
          <cell r="F240" t="str">
            <v>Inventory</v>
          </cell>
        </row>
        <row r="241">
          <cell r="D241" t="str">
            <v>120-50129</v>
          </cell>
          <cell r="F241" t="str">
            <v>Inventory</v>
          </cell>
        </row>
        <row r="242">
          <cell r="D242" t="str">
            <v>120-50129</v>
          </cell>
          <cell r="F242" t="str">
            <v>Inventory</v>
          </cell>
        </row>
        <row r="243">
          <cell r="D243" t="str">
            <v>120-50129</v>
          </cell>
          <cell r="F243" t="str">
            <v>Inventory</v>
          </cell>
        </row>
        <row r="244">
          <cell r="D244" t="str">
            <v>120-50129</v>
          </cell>
          <cell r="F244" t="str">
            <v>Inventory</v>
          </cell>
        </row>
        <row r="245">
          <cell r="D245" t="str">
            <v>120-50129</v>
          </cell>
          <cell r="F245" t="str">
            <v>Inventory</v>
          </cell>
        </row>
        <row r="246">
          <cell r="D246" t="str">
            <v>120-50129</v>
          </cell>
          <cell r="F246" t="str">
            <v>Inventory</v>
          </cell>
        </row>
        <row r="247">
          <cell r="D247" t="str">
            <v>120-50129</v>
          </cell>
          <cell r="F247" t="str">
            <v>Inventory</v>
          </cell>
        </row>
        <row r="248">
          <cell r="D248" t="str">
            <v>120-50129</v>
          </cell>
          <cell r="F248" t="str">
            <v>Inventory</v>
          </cell>
        </row>
        <row r="249">
          <cell r="D249" t="str">
            <v>120-50129</v>
          </cell>
          <cell r="F249" t="str">
            <v>Inventory</v>
          </cell>
        </row>
        <row r="250">
          <cell r="D250" t="str">
            <v>120-50129</v>
          </cell>
          <cell r="F250" t="str">
            <v>Inventory</v>
          </cell>
        </row>
        <row r="251">
          <cell r="D251" t="str">
            <v>120-50129</v>
          </cell>
          <cell r="F251" t="str">
            <v>Inventory</v>
          </cell>
        </row>
        <row r="252">
          <cell r="D252" t="str">
            <v>120-50129</v>
          </cell>
          <cell r="F252" t="str">
            <v>Inventory</v>
          </cell>
        </row>
        <row r="253">
          <cell r="D253" t="str">
            <v>160-00688</v>
          </cell>
          <cell r="F253" t="str">
            <v>Inventory</v>
          </cell>
        </row>
        <row r="254">
          <cell r="D254" t="str">
            <v>160-00688</v>
          </cell>
          <cell r="F254" t="str">
            <v>Inventory</v>
          </cell>
        </row>
        <row r="255">
          <cell r="D255" t="str">
            <v>160-00688</v>
          </cell>
          <cell r="F255" t="str">
            <v>Inventory</v>
          </cell>
        </row>
        <row r="256">
          <cell r="D256" t="str">
            <v>160-00688</v>
          </cell>
          <cell r="F256" t="str">
            <v>Inventory</v>
          </cell>
        </row>
        <row r="257">
          <cell r="D257" t="str">
            <v>160-00688</v>
          </cell>
          <cell r="F257" t="str">
            <v>Inventory</v>
          </cell>
        </row>
        <row r="258">
          <cell r="D258" t="str">
            <v>160-00688</v>
          </cell>
          <cell r="F258" t="str">
            <v>Inventory</v>
          </cell>
        </row>
        <row r="259">
          <cell r="D259" t="str">
            <v>160-00688</v>
          </cell>
          <cell r="F259" t="str">
            <v>New Shipment</v>
          </cell>
        </row>
        <row r="260">
          <cell r="D260" t="str">
            <v>160-00713</v>
          </cell>
          <cell r="F260" t="str">
            <v>Inventory</v>
          </cell>
        </row>
        <row r="261">
          <cell r="D261" t="str">
            <v>160-00713</v>
          </cell>
          <cell r="F261" t="str">
            <v>Inventory</v>
          </cell>
        </row>
        <row r="262">
          <cell r="D262" t="str">
            <v>160-00713</v>
          </cell>
          <cell r="F262" t="str">
            <v>Inventory</v>
          </cell>
        </row>
        <row r="263">
          <cell r="D263" t="str">
            <v>160-00713</v>
          </cell>
          <cell r="F263" t="str">
            <v>Inventory</v>
          </cell>
        </row>
        <row r="264">
          <cell r="D264" t="str">
            <v>160-00713</v>
          </cell>
          <cell r="F264" t="str">
            <v>Inventory</v>
          </cell>
        </row>
        <row r="265">
          <cell r="D265" t="str">
            <v>160-00713</v>
          </cell>
          <cell r="F265" t="str">
            <v>Inventory</v>
          </cell>
        </row>
        <row r="266">
          <cell r="D266" t="str">
            <v>160-00713</v>
          </cell>
          <cell r="F266" t="str">
            <v>Inventory</v>
          </cell>
        </row>
        <row r="267">
          <cell r="D267" t="str">
            <v>160-00713</v>
          </cell>
          <cell r="F267" t="str">
            <v>New Shipment</v>
          </cell>
        </row>
        <row r="268">
          <cell r="D268" t="str">
            <v>160-01148</v>
          </cell>
          <cell r="F268" t="str">
            <v>Inventory</v>
          </cell>
        </row>
        <row r="269">
          <cell r="D269" t="str">
            <v>160-01148</v>
          </cell>
          <cell r="F269" t="str">
            <v>Inventory</v>
          </cell>
        </row>
        <row r="270">
          <cell r="D270" t="str">
            <v>160-01148</v>
          </cell>
          <cell r="F270" t="str">
            <v>Inventory</v>
          </cell>
        </row>
        <row r="271">
          <cell r="D271" t="str">
            <v>160-01148</v>
          </cell>
          <cell r="F271" t="str">
            <v>Inventory</v>
          </cell>
        </row>
        <row r="272">
          <cell r="D272" t="str">
            <v>160-01148</v>
          </cell>
          <cell r="F272" t="str">
            <v>Inventory</v>
          </cell>
        </row>
        <row r="273">
          <cell r="D273" t="str">
            <v>160-01148</v>
          </cell>
          <cell r="F273" t="str">
            <v>New Shipment</v>
          </cell>
        </row>
        <row r="274">
          <cell r="D274" t="str">
            <v>160-00604</v>
          </cell>
          <cell r="F274" t="str">
            <v>New Shipment</v>
          </cell>
        </row>
        <row r="275">
          <cell r="D275" t="str">
            <v>160-00604</v>
          </cell>
          <cell r="F275" t="str">
            <v>New Shipment</v>
          </cell>
        </row>
        <row r="276">
          <cell r="D276" t="str">
            <v>160-00624</v>
          </cell>
          <cell r="F276" t="str">
            <v>Inventory</v>
          </cell>
        </row>
        <row r="277">
          <cell r="D277" t="str">
            <v>160-00624</v>
          </cell>
          <cell r="F277" t="str">
            <v>Inventory</v>
          </cell>
        </row>
        <row r="278">
          <cell r="D278" t="str">
            <v>160-00518</v>
          </cell>
          <cell r="F278" t="str">
            <v>Inventory</v>
          </cell>
        </row>
        <row r="279">
          <cell r="D279" t="str">
            <v>160-00518</v>
          </cell>
          <cell r="F279" t="str">
            <v>Inventory</v>
          </cell>
        </row>
        <row r="280">
          <cell r="D280" t="str">
            <v>160-00518</v>
          </cell>
          <cell r="F280" t="str">
            <v>Inventory</v>
          </cell>
        </row>
        <row r="281">
          <cell r="D281" t="str">
            <v>160-00627</v>
          </cell>
          <cell r="F281" t="str">
            <v>Inventory</v>
          </cell>
        </row>
        <row r="282">
          <cell r="D282" t="str">
            <v>160-00627</v>
          </cell>
          <cell r="F282" t="str">
            <v>Inventory</v>
          </cell>
        </row>
        <row r="283">
          <cell r="D283" t="str">
            <v>160-00591</v>
          </cell>
          <cell r="F283" t="str">
            <v>Inventory</v>
          </cell>
        </row>
        <row r="284">
          <cell r="D284" t="str">
            <v>160-00591</v>
          </cell>
          <cell r="F284" t="str">
            <v>Inventory</v>
          </cell>
        </row>
        <row r="285">
          <cell r="D285" t="str">
            <v>160-00591</v>
          </cell>
          <cell r="F285" t="str">
            <v>New Shipment</v>
          </cell>
        </row>
        <row r="286">
          <cell r="D286" t="str">
            <v>160-00665</v>
          </cell>
          <cell r="F286" t="str">
            <v>Inventory</v>
          </cell>
        </row>
        <row r="287">
          <cell r="D287" t="str">
            <v>160-00665</v>
          </cell>
          <cell r="F287" t="str">
            <v>New Shipment</v>
          </cell>
        </row>
        <row r="288">
          <cell r="D288" t="str">
            <v>160-00667</v>
          </cell>
          <cell r="F288" t="str">
            <v>Inventory</v>
          </cell>
        </row>
        <row r="289">
          <cell r="D289" t="str">
            <v>160-00535</v>
          </cell>
          <cell r="F289" t="str">
            <v>Inventory</v>
          </cell>
        </row>
        <row r="290">
          <cell r="D290" t="str">
            <v>160-00535</v>
          </cell>
          <cell r="F290" t="str">
            <v>Inventory</v>
          </cell>
        </row>
        <row r="291">
          <cell r="D291" t="str">
            <v>160-00674</v>
          </cell>
          <cell r="F291" t="str">
            <v>Inventory</v>
          </cell>
        </row>
        <row r="292">
          <cell r="D292" t="str">
            <v>160-00674</v>
          </cell>
          <cell r="F292" t="str">
            <v>Inventory</v>
          </cell>
        </row>
        <row r="293">
          <cell r="D293" t="str">
            <v>160-00517</v>
          </cell>
          <cell r="F293" t="str">
            <v>Inventory</v>
          </cell>
        </row>
        <row r="294">
          <cell r="D294" t="str">
            <v>160-00517</v>
          </cell>
          <cell r="F294" t="str">
            <v>Inventory</v>
          </cell>
        </row>
        <row r="295">
          <cell r="D295" t="str">
            <v>160-00801</v>
          </cell>
          <cell r="F295" t="str">
            <v>Inventory</v>
          </cell>
        </row>
        <row r="296">
          <cell r="D296" t="str">
            <v>160-00801</v>
          </cell>
          <cell r="F296" t="str">
            <v>Inventory</v>
          </cell>
        </row>
        <row r="297">
          <cell r="D297" t="str">
            <v>160-01037</v>
          </cell>
          <cell r="F297" t="str">
            <v>Inventory</v>
          </cell>
        </row>
        <row r="298">
          <cell r="D298" t="str">
            <v>160-01037</v>
          </cell>
          <cell r="F298" t="str">
            <v>Inventory</v>
          </cell>
        </row>
        <row r="299">
          <cell r="D299" t="str">
            <v>160-00720</v>
          </cell>
          <cell r="F299" t="str">
            <v>Inventory</v>
          </cell>
        </row>
        <row r="300">
          <cell r="D300" t="str">
            <v>160-00720</v>
          </cell>
          <cell r="F300" t="str">
            <v>Inventory</v>
          </cell>
        </row>
        <row r="301">
          <cell r="D301" t="str">
            <v>130-00915</v>
          </cell>
          <cell r="F301" t="str">
            <v>Inventory</v>
          </cell>
        </row>
        <row r="302">
          <cell r="D302" t="str">
            <v>130-00915</v>
          </cell>
          <cell r="F302" t="str">
            <v>Inventory</v>
          </cell>
        </row>
        <row r="303">
          <cell r="D303" t="str">
            <v>130-00915</v>
          </cell>
          <cell r="F303" t="str">
            <v>Inventory</v>
          </cell>
        </row>
        <row r="304">
          <cell r="D304" t="str">
            <v>130-00915</v>
          </cell>
          <cell r="F304" t="str">
            <v>Inventory</v>
          </cell>
        </row>
        <row r="305">
          <cell r="D305" t="str">
            <v>130-00693</v>
          </cell>
          <cell r="F305" t="str">
            <v>Inventory</v>
          </cell>
        </row>
        <row r="306">
          <cell r="D306" t="str">
            <v>130-00693</v>
          </cell>
          <cell r="F306" t="str">
            <v>Inventory</v>
          </cell>
        </row>
        <row r="307">
          <cell r="D307" t="str">
            <v>130-00693</v>
          </cell>
          <cell r="F307" t="str">
            <v>Inventory</v>
          </cell>
        </row>
        <row r="308">
          <cell r="D308" t="str">
            <v>130-00771</v>
          </cell>
          <cell r="F308" t="str">
            <v>Inventory</v>
          </cell>
        </row>
        <row r="309">
          <cell r="D309" t="str">
            <v>130-00771</v>
          </cell>
          <cell r="F309" t="str">
            <v>Inventory</v>
          </cell>
        </row>
        <row r="310">
          <cell r="D310" t="str">
            <v>130-00771</v>
          </cell>
          <cell r="F310" t="str">
            <v>Inventory</v>
          </cell>
        </row>
        <row r="311">
          <cell r="D311" t="str">
            <v>130-00771</v>
          </cell>
          <cell r="F311" t="str">
            <v>Inventory</v>
          </cell>
        </row>
        <row r="312">
          <cell r="D312" t="str">
            <v>130-00654</v>
          </cell>
          <cell r="F312" t="str">
            <v>Inventory</v>
          </cell>
        </row>
        <row r="313">
          <cell r="D313" t="str">
            <v>130-00823</v>
          </cell>
          <cell r="F313" t="str">
            <v>Inventory</v>
          </cell>
        </row>
        <row r="314">
          <cell r="D314" t="str">
            <v>130-00823</v>
          </cell>
          <cell r="F314" t="str">
            <v>Inventory</v>
          </cell>
        </row>
        <row r="315">
          <cell r="D315" t="str">
            <v>130-00823</v>
          </cell>
          <cell r="F315" t="str">
            <v>Inventory</v>
          </cell>
        </row>
        <row r="316">
          <cell r="D316" t="str">
            <v>130-00877</v>
          </cell>
          <cell r="F316" t="str">
            <v>Inventory</v>
          </cell>
        </row>
        <row r="317">
          <cell r="D317" t="str">
            <v>130-00880</v>
          </cell>
          <cell r="F317" t="str">
            <v>Inventory</v>
          </cell>
        </row>
        <row r="318">
          <cell r="D318" t="str">
            <v>130-00880</v>
          </cell>
          <cell r="F318" t="str">
            <v>Inventory</v>
          </cell>
        </row>
        <row r="319">
          <cell r="D319" t="str">
            <v>130-00880</v>
          </cell>
          <cell r="F319" t="str">
            <v>Inventory</v>
          </cell>
        </row>
        <row r="320">
          <cell r="D320" t="str">
            <v>130-00880</v>
          </cell>
          <cell r="F320" t="str">
            <v>Inventory</v>
          </cell>
        </row>
        <row r="321">
          <cell r="D321" t="str">
            <v>130-00880</v>
          </cell>
          <cell r="F321" t="str">
            <v>Inventory</v>
          </cell>
        </row>
        <row r="322">
          <cell r="D322" t="str">
            <v>130-00880</v>
          </cell>
          <cell r="F322" t="str">
            <v>Inventory</v>
          </cell>
        </row>
        <row r="323">
          <cell r="D323" t="str">
            <v>130-00173</v>
          </cell>
          <cell r="F323" t="str">
            <v>Inventory</v>
          </cell>
        </row>
        <row r="324">
          <cell r="D324" t="str">
            <v>130-00173</v>
          </cell>
          <cell r="F324" t="str">
            <v>Inventory</v>
          </cell>
        </row>
        <row r="325">
          <cell r="D325" t="str">
            <v>130-00173</v>
          </cell>
          <cell r="F325" t="str">
            <v>Inventory</v>
          </cell>
        </row>
        <row r="326">
          <cell r="D326" t="str">
            <v>130-00765</v>
          </cell>
          <cell r="F326" t="str">
            <v>Inventory</v>
          </cell>
        </row>
        <row r="327">
          <cell r="D327" t="str">
            <v>130-00765</v>
          </cell>
          <cell r="F327" t="str">
            <v>Inventory</v>
          </cell>
        </row>
        <row r="328">
          <cell r="D328" t="str">
            <v>130-00765</v>
          </cell>
          <cell r="F328" t="str">
            <v>Inventory</v>
          </cell>
        </row>
        <row r="329">
          <cell r="D329" t="str">
            <v>130-00764</v>
          </cell>
          <cell r="F329" t="str">
            <v>Inventory</v>
          </cell>
        </row>
        <row r="330">
          <cell r="D330" t="str">
            <v>130-00764</v>
          </cell>
          <cell r="F330" t="str">
            <v>Inventory</v>
          </cell>
        </row>
        <row r="331">
          <cell r="D331" t="str">
            <v>130-00764</v>
          </cell>
          <cell r="F331" t="str">
            <v>Inventory</v>
          </cell>
        </row>
        <row r="332">
          <cell r="D332" t="str">
            <v>130-01658</v>
          </cell>
          <cell r="F332" t="str">
            <v>Inventory</v>
          </cell>
        </row>
        <row r="333">
          <cell r="D333" t="str">
            <v>130-01658</v>
          </cell>
          <cell r="F333" t="str">
            <v>Inventory</v>
          </cell>
        </row>
        <row r="334">
          <cell r="D334" t="str">
            <v>130-01658</v>
          </cell>
          <cell r="F334" t="str">
            <v>Inventory</v>
          </cell>
        </row>
        <row r="335">
          <cell r="D335" t="str">
            <v>130-01658</v>
          </cell>
          <cell r="F335" t="str">
            <v>Inventory</v>
          </cell>
        </row>
        <row r="336">
          <cell r="D336" t="str">
            <v>130-01658</v>
          </cell>
          <cell r="F336" t="str">
            <v>Inventory</v>
          </cell>
        </row>
        <row r="337">
          <cell r="D337" t="str">
            <v>130-01658</v>
          </cell>
          <cell r="F337" t="str">
            <v>Inventory</v>
          </cell>
        </row>
        <row r="338">
          <cell r="D338" t="str">
            <v>130-01356</v>
          </cell>
          <cell r="F338" t="str">
            <v>Inventory</v>
          </cell>
        </row>
        <row r="339">
          <cell r="D339" t="str">
            <v>130-01356</v>
          </cell>
          <cell r="F339" t="str">
            <v>Inventory</v>
          </cell>
        </row>
        <row r="340">
          <cell r="D340" t="str">
            <v>130-01356</v>
          </cell>
          <cell r="F340" t="str">
            <v>Inventory</v>
          </cell>
        </row>
        <row r="341">
          <cell r="D341" t="str">
            <v>130-01356</v>
          </cell>
          <cell r="F341" t="str">
            <v>Inventory</v>
          </cell>
        </row>
        <row r="342">
          <cell r="D342" t="str">
            <v>130-01356</v>
          </cell>
          <cell r="F342" t="str">
            <v>Inventory</v>
          </cell>
        </row>
        <row r="343">
          <cell r="D343" t="str">
            <v>130-01388</v>
          </cell>
          <cell r="F343" t="str">
            <v>Inventory</v>
          </cell>
        </row>
        <row r="344">
          <cell r="D344" t="str">
            <v>130-01388</v>
          </cell>
          <cell r="F344" t="str">
            <v>Inventory</v>
          </cell>
        </row>
        <row r="345">
          <cell r="D345" t="str">
            <v>130-01388</v>
          </cell>
          <cell r="F345" t="str">
            <v>Inventory</v>
          </cell>
        </row>
        <row r="346">
          <cell r="D346" t="str">
            <v>130-00305</v>
          </cell>
          <cell r="F346" t="str">
            <v>Inventory</v>
          </cell>
        </row>
        <row r="347">
          <cell r="D347" t="str">
            <v>130-00305</v>
          </cell>
          <cell r="F347" t="str">
            <v>Inventory</v>
          </cell>
        </row>
        <row r="348">
          <cell r="D348" t="str">
            <v>130-00305</v>
          </cell>
          <cell r="F348" t="str">
            <v>Inventory</v>
          </cell>
        </row>
        <row r="349">
          <cell r="D349" t="str">
            <v>130-00305</v>
          </cell>
          <cell r="F349" t="str">
            <v>New Shipment</v>
          </cell>
        </row>
        <row r="350">
          <cell r="D350" t="str">
            <v>130-00305</v>
          </cell>
          <cell r="F350" t="str">
            <v>New Shipment</v>
          </cell>
        </row>
        <row r="351">
          <cell r="D351" t="str">
            <v>130-01503</v>
          </cell>
          <cell r="F351" t="str">
            <v>Inventory</v>
          </cell>
        </row>
        <row r="352">
          <cell r="D352" t="str">
            <v>140-00882</v>
          </cell>
          <cell r="F352" t="str">
            <v>Inventory</v>
          </cell>
        </row>
        <row r="353">
          <cell r="D353" t="str">
            <v>140-00882</v>
          </cell>
          <cell r="F353" t="str">
            <v>Inventory</v>
          </cell>
        </row>
        <row r="354">
          <cell r="D354" t="str">
            <v>140-00882</v>
          </cell>
          <cell r="F354" t="str">
            <v>Inventory</v>
          </cell>
        </row>
        <row r="355">
          <cell r="D355" t="str">
            <v>140-00882</v>
          </cell>
          <cell r="F355" t="str">
            <v>Inventory</v>
          </cell>
        </row>
        <row r="356">
          <cell r="D356" t="str">
            <v>140-00882</v>
          </cell>
          <cell r="F356" t="str">
            <v>Inventory</v>
          </cell>
        </row>
        <row r="357">
          <cell r="D357" t="str">
            <v>140-00882</v>
          </cell>
          <cell r="F357" t="str">
            <v>Inventory</v>
          </cell>
        </row>
        <row r="358">
          <cell r="D358" t="str">
            <v>140-00882</v>
          </cell>
          <cell r="F358" t="str">
            <v>Inventory</v>
          </cell>
        </row>
        <row r="359">
          <cell r="D359" t="str">
            <v>140-00882</v>
          </cell>
          <cell r="F359" t="str">
            <v>Inventory</v>
          </cell>
        </row>
        <row r="360">
          <cell r="D360" t="str">
            <v>140-00882</v>
          </cell>
          <cell r="F360" t="str">
            <v>Inventory</v>
          </cell>
        </row>
        <row r="361">
          <cell r="D361" t="str">
            <v>140-00349</v>
          </cell>
          <cell r="F361" t="str">
            <v>Inventory</v>
          </cell>
        </row>
        <row r="362">
          <cell r="D362" t="str">
            <v>140-00349</v>
          </cell>
          <cell r="F362" t="str">
            <v>Inventory</v>
          </cell>
        </row>
        <row r="363">
          <cell r="D363" t="str">
            <v>140-00357</v>
          </cell>
          <cell r="F363" t="str">
            <v>Inventory</v>
          </cell>
        </row>
        <row r="364">
          <cell r="D364" t="str">
            <v>140-02700</v>
          </cell>
          <cell r="F364" t="str">
            <v>Inventory</v>
          </cell>
        </row>
        <row r="365">
          <cell r="D365" t="str">
            <v>140-02700</v>
          </cell>
          <cell r="F365" t="str">
            <v>Inventory</v>
          </cell>
        </row>
        <row r="366">
          <cell r="D366" t="str">
            <v>140-02700</v>
          </cell>
          <cell r="F366" t="str">
            <v>Inventory</v>
          </cell>
        </row>
        <row r="367">
          <cell r="D367" t="e">
            <v>#N/A</v>
          </cell>
          <cell r="F367" t="str">
            <v>Inventory</v>
          </cell>
        </row>
        <row r="368">
          <cell r="D368" t="e">
            <v>#N/A</v>
          </cell>
          <cell r="F368" t="str">
            <v>Inventory</v>
          </cell>
        </row>
        <row r="369">
          <cell r="D369" t="e">
            <v>#N/A</v>
          </cell>
          <cell r="F369" t="str">
            <v>Inventory</v>
          </cell>
        </row>
        <row r="370">
          <cell r="D370" t="e">
            <v>#N/A</v>
          </cell>
          <cell r="F370" t="str">
            <v>Inventory</v>
          </cell>
        </row>
        <row r="371">
          <cell r="D371" t="str">
            <v>140-01829</v>
          </cell>
          <cell r="F371" t="str">
            <v>Inventory</v>
          </cell>
        </row>
        <row r="372">
          <cell r="D372" t="str">
            <v>140-01829</v>
          </cell>
          <cell r="F372" t="str">
            <v>Inventory</v>
          </cell>
        </row>
        <row r="373">
          <cell r="D373" t="str">
            <v>140-01370</v>
          </cell>
          <cell r="F373" t="str">
            <v>Inventory</v>
          </cell>
        </row>
        <row r="374">
          <cell r="D374" t="str">
            <v>140-01370</v>
          </cell>
          <cell r="F374" t="str">
            <v>Inventory</v>
          </cell>
        </row>
        <row r="375">
          <cell r="D375" t="str">
            <v>140-01361</v>
          </cell>
          <cell r="F375" t="str">
            <v>Inventory</v>
          </cell>
        </row>
        <row r="376">
          <cell r="D376" t="str">
            <v>140-01361</v>
          </cell>
          <cell r="F376" t="str">
            <v>Inventory</v>
          </cell>
        </row>
        <row r="377">
          <cell r="D377" t="str">
            <v>140-01368</v>
          </cell>
          <cell r="F377" t="str">
            <v>Inventory</v>
          </cell>
        </row>
        <row r="378">
          <cell r="D378" t="str">
            <v>140-00544</v>
          </cell>
          <cell r="F378" t="str">
            <v>Inventory</v>
          </cell>
        </row>
        <row r="379">
          <cell r="D379" t="str">
            <v>140-01366</v>
          </cell>
          <cell r="F379" t="str">
            <v>Inventory</v>
          </cell>
        </row>
        <row r="380">
          <cell r="D380" t="str">
            <v>140-01366</v>
          </cell>
          <cell r="F380" t="str">
            <v>Inventory</v>
          </cell>
        </row>
        <row r="381">
          <cell r="D381" t="str">
            <v>140-01374</v>
          </cell>
          <cell r="F381" t="str">
            <v>Inventory</v>
          </cell>
        </row>
        <row r="382">
          <cell r="D382" t="str">
            <v>140-01375</v>
          </cell>
          <cell r="F382" t="str">
            <v>Inventory</v>
          </cell>
        </row>
        <row r="383">
          <cell r="D383" t="str">
            <v>140-01375</v>
          </cell>
          <cell r="F383" t="str">
            <v>Inventory</v>
          </cell>
        </row>
        <row r="384">
          <cell r="D384" t="str">
            <v>140-01371</v>
          </cell>
          <cell r="F384" t="str">
            <v>Inventory</v>
          </cell>
        </row>
        <row r="385">
          <cell r="D385" t="str">
            <v>140-01371</v>
          </cell>
          <cell r="F385" t="str">
            <v>Inventory</v>
          </cell>
        </row>
        <row r="386">
          <cell r="D386" t="str">
            <v>140-00011</v>
          </cell>
          <cell r="F386" t="str">
            <v>Inventory</v>
          </cell>
        </row>
        <row r="387">
          <cell r="D387" t="str">
            <v>160-00584</v>
          </cell>
          <cell r="F387" t="str">
            <v>Inventory</v>
          </cell>
        </row>
        <row r="388">
          <cell r="D388" t="str">
            <v>140-01393</v>
          </cell>
          <cell r="F388" t="str">
            <v>Inventory</v>
          </cell>
        </row>
        <row r="389">
          <cell r="D389" t="str">
            <v>140-01393</v>
          </cell>
          <cell r="F389" t="str">
            <v>Inventory</v>
          </cell>
        </row>
        <row r="390">
          <cell r="D390" t="str">
            <v>160-00757</v>
          </cell>
          <cell r="F390" t="str">
            <v>Inventory</v>
          </cell>
        </row>
        <row r="391">
          <cell r="D391" t="str">
            <v>190-00122</v>
          </cell>
          <cell r="F391" t="str">
            <v>Inventory</v>
          </cell>
        </row>
        <row r="392">
          <cell r="D392" t="str">
            <v>190-00122</v>
          </cell>
          <cell r="F392" t="str">
            <v>Inventory</v>
          </cell>
        </row>
        <row r="393">
          <cell r="D393" t="str">
            <v>190-00122</v>
          </cell>
          <cell r="F393" t="str">
            <v>Inventory</v>
          </cell>
        </row>
        <row r="394">
          <cell r="D394" t="str">
            <v>190-00226</v>
          </cell>
          <cell r="F394" t="str">
            <v>Inventory</v>
          </cell>
        </row>
        <row r="395">
          <cell r="D395" t="str">
            <v>190-00226</v>
          </cell>
          <cell r="F395" t="str">
            <v>Inventory</v>
          </cell>
        </row>
        <row r="396">
          <cell r="D396" t="str">
            <v>190-00226</v>
          </cell>
          <cell r="F396" t="str">
            <v>Inventory</v>
          </cell>
        </row>
        <row r="397">
          <cell r="D397" t="str">
            <v>190-00226</v>
          </cell>
          <cell r="F397" t="str">
            <v>Inventory</v>
          </cell>
        </row>
        <row r="398">
          <cell r="D398" t="str">
            <v>190-00226</v>
          </cell>
          <cell r="F398" t="str">
            <v>Inventory</v>
          </cell>
        </row>
        <row r="399">
          <cell r="D399" t="str">
            <v>190-00226</v>
          </cell>
          <cell r="F399" t="str">
            <v>Inventory</v>
          </cell>
        </row>
        <row r="400">
          <cell r="D400" t="str">
            <v>190-00226</v>
          </cell>
          <cell r="F400" t="str">
            <v>Inventory</v>
          </cell>
        </row>
        <row r="401">
          <cell r="D401" t="str">
            <v>190-00226</v>
          </cell>
          <cell r="F401" t="str">
            <v>Inventory</v>
          </cell>
        </row>
        <row r="402">
          <cell r="D402" t="str">
            <v>190-00226</v>
          </cell>
          <cell r="F402" t="str">
            <v>Inventory</v>
          </cell>
        </row>
        <row r="403">
          <cell r="D403" t="str">
            <v>190-00226</v>
          </cell>
          <cell r="F403" t="str">
            <v>Inventory</v>
          </cell>
        </row>
        <row r="404">
          <cell r="D404" t="str">
            <v>190-00226</v>
          </cell>
          <cell r="F404" t="str">
            <v>Inventory</v>
          </cell>
        </row>
        <row r="405">
          <cell r="D405" t="str">
            <v>190-00300</v>
          </cell>
          <cell r="F405" t="str">
            <v>Inventory</v>
          </cell>
        </row>
        <row r="406">
          <cell r="D406" t="str">
            <v>190-00300</v>
          </cell>
          <cell r="F406" t="str">
            <v>Inventory</v>
          </cell>
        </row>
        <row r="407">
          <cell r="D407" t="str">
            <v>190-00300</v>
          </cell>
          <cell r="F407" t="str">
            <v>Inventory</v>
          </cell>
        </row>
        <row r="408">
          <cell r="D408" t="str">
            <v>190-00300</v>
          </cell>
          <cell r="F408" t="str">
            <v>Inventory</v>
          </cell>
        </row>
        <row r="409">
          <cell r="D409" t="str">
            <v>190-00346</v>
          </cell>
          <cell r="F409" t="str">
            <v>Inventory</v>
          </cell>
        </row>
        <row r="410">
          <cell r="D410" t="str">
            <v>190-00346</v>
          </cell>
          <cell r="F410" t="str">
            <v>Inventory</v>
          </cell>
        </row>
        <row r="411">
          <cell r="D411" t="str">
            <v>190-00346</v>
          </cell>
          <cell r="F411" t="str">
            <v>Inventory</v>
          </cell>
        </row>
        <row r="412">
          <cell r="D412" t="str">
            <v>190-00346</v>
          </cell>
          <cell r="F412" t="str">
            <v>Inventory</v>
          </cell>
        </row>
        <row r="413">
          <cell r="D413" t="str">
            <v>190-00346</v>
          </cell>
          <cell r="F413" t="str">
            <v>Inventory</v>
          </cell>
        </row>
        <row r="414">
          <cell r="D414" t="str">
            <v>190-00346</v>
          </cell>
          <cell r="F414" t="str">
            <v>Inventory</v>
          </cell>
        </row>
        <row r="415">
          <cell r="D415" t="str">
            <v>190-00346</v>
          </cell>
          <cell r="F415" t="str">
            <v>Inventory</v>
          </cell>
        </row>
        <row r="416">
          <cell r="D416" t="str">
            <v>190-00346</v>
          </cell>
          <cell r="F416" t="str">
            <v>Inventory</v>
          </cell>
        </row>
        <row r="417">
          <cell r="D417" t="str">
            <v>190-00346</v>
          </cell>
          <cell r="F417" t="str">
            <v>Inventory</v>
          </cell>
        </row>
        <row r="418">
          <cell r="D418" t="str">
            <v>190-00346</v>
          </cell>
          <cell r="F418" t="str">
            <v>Inventory</v>
          </cell>
        </row>
        <row r="419">
          <cell r="D419" t="str">
            <v>190-00346</v>
          </cell>
          <cell r="F419" t="str">
            <v>Inventory</v>
          </cell>
        </row>
        <row r="420">
          <cell r="D420" t="str">
            <v>190-00346</v>
          </cell>
          <cell r="F420" t="str">
            <v>Inventory</v>
          </cell>
        </row>
        <row r="421">
          <cell r="D421" t="str">
            <v>190-00346</v>
          </cell>
          <cell r="F421" t="str">
            <v>Inventory</v>
          </cell>
        </row>
        <row r="422">
          <cell r="D422" t="str">
            <v>190-00346</v>
          </cell>
          <cell r="F422" t="str">
            <v>Inventory</v>
          </cell>
        </row>
        <row r="423">
          <cell r="D423" t="str">
            <v>190-00346</v>
          </cell>
          <cell r="F423" t="str">
            <v>Inventory</v>
          </cell>
        </row>
        <row r="424">
          <cell r="D424" t="str">
            <v>190-00346</v>
          </cell>
          <cell r="F424" t="str">
            <v>Inventory</v>
          </cell>
        </row>
        <row r="425">
          <cell r="D425" t="str">
            <v>190-00121</v>
          </cell>
          <cell r="F425" t="str">
            <v>Inventory</v>
          </cell>
        </row>
        <row r="426">
          <cell r="D426" t="str">
            <v>190-00121</v>
          </cell>
          <cell r="F426" t="str">
            <v>Inventory</v>
          </cell>
        </row>
        <row r="427">
          <cell r="D427" t="str">
            <v>190-00121</v>
          </cell>
          <cell r="F427" t="str">
            <v>Inventory</v>
          </cell>
        </row>
        <row r="428">
          <cell r="D428" t="str">
            <v>190-00121</v>
          </cell>
          <cell r="F428" t="str">
            <v>Inventory</v>
          </cell>
        </row>
        <row r="429">
          <cell r="D429" t="str">
            <v>190-00121</v>
          </cell>
          <cell r="F429" t="str">
            <v>Inventory</v>
          </cell>
        </row>
        <row r="430">
          <cell r="D430" t="str">
            <v>190-00121</v>
          </cell>
          <cell r="F430" t="str">
            <v>Inventory</v>
          </cell>
        </row>
        <row r="431">
          <cell r="D431" t="str">
            <v>190-00121</v>
          </cell>
          <cell r="F431" t="str">
            <v>Inventory</v>
          </cell>
        </row>
        <row r="432">
          <cell r="D432" t="str">
            <v>190-00106</v>
          </cell>
          <cell r="F432" t="str">
            <v>Inventory</v>
          </cell>
        </row>
        <row r="433">
          <cell r="D433" t="str">
            <v>190-00106</v>
          </cell>
          <cell r="F433" t="str">
            <v>Inventory</v>
          </cell>
        </row>
        <row r="434">
          <cell r="D434" t="str">
            <v>190-00106</v>
          </cell>
          <cell r="F434" t="str">
            <v>Inventory</v>
          </cell>
        </row>
        <row r="435">
          <cell r="D435" t="str">
            <v>190-00106</v>
          </cell>
          <cell r="F435" t="str">
            <v>Inventory</v>
          </cell>
        </row>
        <row r="436">
          <cell r="D436" t="str">
            <v>190-00106</v>
          </cell>
          <cell r="F436" t="str">
            <v>Inventory</v>
          </cell>
        </row>
        <row r="437">
          <cell r="D437" t="str">
            <v>190-00272</v>
          </cell>
          <cell r="F437" t="str">
            <v>Inventory</v>
          </cell>
        </row>
        <row r="438">
          <cell r="D438" t="str">
            <v>140-01448</v>
          </cell>
          <cell r="F438" t="str">
            <v>Inventory</v>
          </cell>
        </row>
        <row r="439">
          <cell r="D439" t="str">
            <v>160-00309</v>
          </cell>
          <cell r="F439" t="str">
            <v>Inventory</v>
          </cell>
        </row>
        <row r="440">
          <cell r="D440" t="str">
            <v>160-00309</v>
          </cell>
          <cell r="F440" t="str">
            <v>Inventory</v>
          </cell>
        </row>
        <row r="441">
          <cell r="D441" t="str">
            <v>160-00309</v>
          </cell>
          <cell r="F441" t="str">
            <v>Inventory</v>
          </cell>
        </row>
        <row r="442">
          <cell r="D442" t="str">
            <v>160-00309</v>
          </cell>
          <cell r="F442" t="str">
            <v>Inventory</v>
          </cell>
        </row>
        <row r="443">
          <cell r="D443" t="str">
            <v>160-00309</v>
          </cell>
          <cell r="F443" t="str">
            <v>Inventory</v>
          </cell>
        </row>
        <row r="444">
          <cell r="D444" t="str">
            <v>160-00309</v>
          </cell>
          <cell r="F444" t="str">
            <v>Inventory</v>
          </cell>
        </row>
        <row r="445">
          <cell r="D445" t="str">
            <v>160-00309</v>
          </cell>
          <cell r="F445" t="str">
            <v>New Shipment</v>
          </cell>
        </row>
        <row r="446">
          <cell r="D446" t="str">
            <v>160-00309</v>
          </cell>
          <cell r="F446" t="str">
            <v>New Shipment</v>
          </cell>
        </row>
        <row r="447">
          <cell r="D447" t="str">
            <v>160-00309</v>
          </cell>
          <cell r="F447" t="str">
            <v>New Shipment</v>
          </cell>
        </row>
        <row r="448">
          <cell r="D448" t="str">
            <v>160-00309</v>
          </cell>
          <cell r="F448" t="str">
            <v>New Shipment</v>
          </cell>
        </row>
        <row r="449">
          <cell r="D449" t="str">
            <v>160-00377</v>
          </cell>
          <cell r="F449" t="str">
            <v>Inventory</v>
          </cell>
        </row>
        <row r="450">
          <cell r="D450" t="str">
            <v>160-00377</v>
          </cell>
          <cell r="F450" t="str">
            <v>Inventory</v>
          </cell>
        </row>
        <row r="451">
          <cell r="D451" t="str">
            <v>160-00377</v>
          </cell>
          <cell r="F451" t="str">
            <v>Inventory</v>
          </cell>
        </row>
        <row r="452">
          <cell r="D452" t="str">
            <v>160-00377</v>
          </cell>
          <cell r="F452" t="str">
            <v>Inventory</v>
          </cell>
        </row>
        <row r="453">
          <cell r="D453" t="str">
            <v>160-00377</v>
          </cell>
          <cell r="F453" t="str">
            <v>Inventory</v>
          </cell>
        </row>
        <row r="454">
          <cell r="D454" t="str">
            <v>160-00377</v>
          </cell>
          <cell r="F454" t="str">
            <v>New Shipment</v>
          </cell>
        </row>
        <row r="455">
          <cell r="D455" t="str">
            <v>160-00629</v>
          </cell>
          <cell r="F455" t="str">
            <v>Inventory</v>
          </cell>
        </row>
        <row r="456">
          <cell r="D456" t="str">
            <v>160-00629</v>
          </cell>
          <cell r="F456" t="str">
            <v>Inventory</v>
          </cell>
        </row>
        <row r="457">
          <cell r="D457" t="str">
            <v>160-00629</v>
          </cell>
          <cell r="F457" t="str">
            <v>Inventory</v>
          </cell>
        </row>
        <row r="458">
          <cell r="D458" t="str">
            <v>160-00629</v>
          </cell>
          <cell r="F458" t="str">
            <v>New Shipment</v>
          </cell>
        </row>
        <row r="459">
          <cell r="D459" t="str">
            <v>160-00629</v>
          </cell>
          <cell r="F459" t="str">
            <v>New Shipment</v>
          </cell>
        </row>
        <row r="460">
          <cell r="D460" t="str">
            <v>160-00724</v>
          </cell>
          <cell r="F460" t="str">
            <v>Inventory</v>
          </cell>
        </row>
        <row r="461">
          <cell r="D461" t="str">
            <v>160-00724</v>
          </cell>
          <cell r="F461" t="str">
            <v>Inventory</v>
          </cell>
        </row>
        <row r="462">
          <cell r="D462" t="str">
            <v>160-00724</v>
          </cell>
          <cell r="F462" t="str">
            <v>Inventory</v>
          </cell>
        </row>
        <row r="463">
          <cell r="D463" t="str">
            <v>160-00724</v>
          </cell>
          <cell r="F463" t="str">
            <v>Inventory</v>
          </cell>
        </row>
        <row r="464">
          <cell r="D464" t="str">
            <v>160-00724</v>
          </cell>
          <cell r="F464" t="str">
            <v>New Shipment</v>
          </cell>
        </row>
        <row r="465">
          <cell r="D465" t="str">
            <v>160-00724</v>
          </cell>
          <cell r="F465" t="str">
            <v>New Shipment</v>
          </cell>
        </row>
        <row r="466">
          <cell r="D466" t="str">
            <v>160-00575</v>
          </cell>
          <cell r="F466" t="str">
            <v>Inventory</v>
          </cell>
        </row>
        <row r="467">
          <cell r="D467" t="str">
            <v>160-00575</v>
          </cell>
          <cell r="F467" t="str">
            <v>Inventory</v>
          </cell>
        </row>
        <row r="468">
          <cell r="D468" t="str">
            <v>160-00575</v>
          </cell>
          <cell r="F468" t="str">
            <v>Inventory</v>
          </cell>
        </row>
        <row r="469">
          <cell r="D469" t="str">
            <v>160-00575</v>
          </cell>
          <cell r="F469" t="str">
            <v>New Shipment</v>
          </cell>
        </row>
        <row r="470">
          <cell r="D470" t="str">
            <v>160-00575</v>
          </cell>
          <cell r="F470" t="str">
            <v>New Shipment</v>
          </cell>
        </row>
        <row r="471">
          <cell r="D471" t="str">
            <v>160-00630</v>
          </cell>
          <cell r="F471" t="str">
            <v>Inventory</v>
          </cell>
        </row>
        <row r="472">
          <cell r="D472" t="str">
            <v>160-00630</v>
          </cell>
          <cell r="F472" t="str">
            <v>Inventory</v>
          </cell>
        </row>
        <row r="473">
          <cell r="D473" t="str">
            <v>160-00630</v>
          </cell>
          <cell r="F473" t="str">
            <v>New Shipment</v>
          </cell>
        </row>
        <row r="474">
          <cell r="D474" t="str">
            <v>160-00563</v>
          </cell>
          <cell r="F474" t="str">
            <v>Inventory</v>
          </cell>
        </row>
        <row r="475">
          <cell r="D475" t="str">
            <v>160-00563</v>
          </cell>
          <cell r="F475" t="str">
            <v>Inventory</v>
          </cell>
        </row>
        <row r="476">
          <cell r="D476" t="str">
            <v>160-00563</v>
          </cell>
          <cell r="F476" t="str">
            <v>New Shipment</v>
          </cell>
        </row>
        <row r="477">
          <cell r="D477" t="str">
            <v>160-00563</v>
          </cell>
          <cell r="F477" t="str">
            <v>New Shipment</v>
          </cell>
        </row>
        <row r="478">
          <cell r="D478" t="str">
            <v>160-01047</v>
          </cell>
          <cell r="F478" t="str">
            <v>Inventory</v>
          </cell>
        </row>
        <row r="479">
          <cell r="D479" t="str">
            <v>160-01047</v>
          </cell>
          <cell r="F479" t="str">
            <v>Inventory</v>
          </cell>
        </row>
        <row r="480">
          <cell r="D480" t="str">
            <v>160-01047</v>
          </cell>
          <cell r="F480" t="str">
            <v>New Shipment</v>
          </cell>
        </row>
        <row r="481">
          <cell r="D481" t="str">
            <v>160-01047</v>
          </cell>
          <cell r="F481" t="str">
            <v>New Shipment</v>
          </cell>
        </row>
        <row r="482">
          <cell r="D482" t="str">
            <v>160-01055</v>
          </cell>
          <cell r="F482" t="str">
            <v>Inventory</v>
          </cell>
        </row>
        <row r="483">
          <cell r="D483" t="str">
            <v>160-01055</v>
          </cell>
          <cell r="F483" t="str">
            <v>New Shipment</v>
          </cell>
        </row>
        <row r="484">
          <cell r="D484" t="str">
            <v>160-01045</v>
          </cell>
          <cell r="F484" t="str">
            <v>Inventory</v>
          </cell>
        </row>
        <row r="485">
          <cell r="D485" t="str">
            <v>160-01045</v>
          </cell>
          <cell r="F485" t="str">
            <v>Inventory</v>
          </cell>
        </row>
        <row r="486">
          <cell r="D486" t="str">
            <v>160-01045</v>
          </cell>
          <cell r="F486" t="str">
            <v>New Shipment</v>
          </cell>
        </row>
        <row r="487">
          <cell r="D487" t="str">
            <v>140-00720</v>
          </cell>
          <cell r="F487" t="str">
            <v>Inventory</v>
          </cell>
        </row>
        <row r="488">
          <cell r="D488" t="str">
            <v>140-00720</v>
          </cell>
          <cell r="F488" t="str">
            <v>Inventory</v>
          </cell>
        </row>
        <row r="489">
          <cell r="D489" t="str">
            <v>140-00720</v>
          </cell>
          <cell r="F489" t="str">
            <v>Inventory</v>
          </cell>
        </row>
        <row r="490">
          <cell r="D490" t="str">
            <v>140-00720</v>
          </cell>
          <cell r="F490" t="str">
            <v>Inventory</v>
          </cell>
        </row>
        <row r="491">
          <cell r="D491" t="str">
            <v>140-01284</v>
          </cell>
          <cell r="F491" t="str">
            <v>Inventory</v>
          </cell>
        </row>
        <row r="492">
          <cell r="D492" t="str">
            <v>140-01284</v>
          </cell>
          <cell r="F492" t="str">
            <v>Inventory</v>
          </cell>
        </row>
        <row r="493">
          <cell r="D493" t="str">
            <v>140-01284</v>
          </cell>
          <cell r="F493" t="str">
            <v>Inventory</v>
          </cell>
        </row>
        <row r="494">
          <cell r="D494" t="str">
            <v>140-01284</v>
          </cell>
          <cell r="F494" t="str">
            <v>Inventory</v>
          </cell>
        </row>
        <row r="495">
          <cell r="D495" t="str">
            <v>140-01284</v>
          </cell>
          <cell r="F495" t="str">
            <v>Inventory</v>
          </cell>
        </row>
        <row r="496">
          <cell r="D496" t="str">
            <v>140-01284</v>
          </cell>
          <cell r="F496" t="str">
            <v>Inventory</v>
          </cell>
        </row>
        <row r="497">
          <cell r="D497" t="str">
            <v>140-01284</v>
          </cell>
          <cell r="F497" t="str">
            <v>Inventory</v>
          </cell>
        </row>
        <row r="498">
          <cell r="D498" t="str">
            <v>140-01285</v>
          </cell>
          <cell r="F498" t="str">
            <v>Inventory</v>
          </cell>
        </row>
        <row r="499">
          <cell r="D499" t="str">
            <v>140-01496</v>
          </cell>
          <cell r="F499" t="str">
            <v>Inventory</v>
          </cell>
        </row>
        <row r="500">
          <cell r="D500" t="str">
            <v>140-01496</v>
          </cell>
          <cell r="F500" t="str">
            <v>Inventory</v>
          </cell>
        </row>
        <row r="501">
          <cell r="D501" t="str">
            <v>140-01496</v>
          </cell>
          <cell r="F501" t="str">
            <v>Inventory</v>
          </cell>
        </row>
        <row r="502">
          <cell r="D502" t="str">
            <v>140-01496</v>
          </cell>
          <cell r="F502" t="str">
            <v>Inventory</v>
          </cell>
        </row>
        <row r="503">
          <cell r="D503" t="str">
            <v>140-02614</v>
          </cell>
          <cell r="F503" t="str">
            <v>Inventory</v>
          </cell>
        </row>
        <row r="504">
          <cell r="D504" t="str">
            <v>140-02614</v>
          </cell>
          <cell r="F504" t="str">
            <v>Inventory</v>
          </cell>
        </row>
        <row r="505">
          <cell r="D505" t="str">
            <v>140-02614</v>
          </cell>
          <cell r="F505" t="str">
            <v>Inventory</v>
          </cell>
        </row>
        <row r="506">
          <cell r="D506" t="str">
            <v>140-02614</v>
          </cell>
          <cell r="F506" t="str">
            <v>Inventory</v>
          </cell>
        </row>
        <row r="507">
          <cell r="D507" t="str">
            <v>140-02614</v>
          </cell>
          <cell r="F507" t="str">
            <v>Inventory</v>
          </cell>
        </row>
        <row r="508">
          <cell r="D508" t="str">
            <v>140-02614</v>
          </cell>
          <cell r="F508" t="str">
            <v>Inventory</v>
          </cell>
        </row>
        <row r="509">
          <cell r="D509" t="str">
            <v>140-02614</v>
          </cell>
          <cell r="F509" t="str">
            <v>Inventory</v>
          </cell>
        </row>
        <row r="510">
          <cell r="D510" t="str">
            <v>140-02614</v>
          </cell>
          <cell r="F510" t="str">
            <v>Inventory</v>
          </cell>
        </row>
        <row r="511">
          <cell r="D511" t="str">
            <v>130-01435</v>
          </cell>
          <cell r="F511" t="str">
            <v>Inventory</v>
          </cell>
        </row>
        <row r="512">
          <cell r="D512" t="str">
            <v>140-01549</v>
          </cell>
          <cell r="F512" t="str">
            <v>Inventory</v>
          </cell>
        </row>
        <row r="513">
          <cell r="D513" t="str">
            <v>140-01549</v>
          </cell>
          <cell r="F513" t="str">
            <v>New Shipment</v>
          </cell>
        </row>
        <row r="514">
          <cell r="D514" t="str">
            <v>140-01691</v>
          </cell>
          <cell r="F514" t="str">
            <v>Inventory</v>
          </cell>
        </row>
        <row r="515">
          <cell r="D515" t="str">
            <v>140-01691</v>
          </cell>
          <cell r="F515" t="str">
            <v>Inventory</v>
          </cell>
        </row>
        <row r="516">
          <cell r="D516" t="str">
            <v>140-01692</v>
          </cell>
          <cell r="F516" t="str">
            <v>Inventory</v>
          </cell>
        </row>
        <row r="517">
          <cell r="D517" t="str">
            <v>140-01692</v>
          </cell>
          <cell r="F517" t="str">
            <v>Inventory</v>
          </cell>
        </row>
        <row r="518">
          <cell r="D518" t="str">
            <v>140-01693</v>
          </cell>
          <cell r="F518" t="str">
            <v>Inventory</v>
          </cell>
        </row>
        <row r="519">
          <cell r="D519" t="str">
            <v>140-01693</v>
          </cell>
          <cell r="F519" t="str">
            <v>Inventory</v>
          </cell>
        </row>
        <row r="520">
          <cell r="D520" t="str">
            <v>145-00382</v>
          </cell>
          <cell r="F520" t="str">
            <v>Inventory</v>
          </cell>
        </row>
        <row r="521">
          <cell r="D521" t="str">
            <v>145-00382</v>
          </cell>
          <cell r="F521" t="str">
            <v>Inventory</v>
          </cell>
        </row>
        <row r="522">
          <cell r="D522" t="str">
            <v>140-02678</v>
          </cell>
          <cell r="F522" t="str">
            <v>New Shipment</v>
          </cell>
        </row>
        <row r="523">
          <cell r="D523" t="str">
            <v>140-02361</v>
          </cell>
          <cell r="F523" t="str">
            <v>Inventory</v>
          </cell>
        </row>
        <row r="524">
          <cell r="D524" t="str">
            <v>140-02361</v>
          </cell>
          <cell r="F524" t="str">
            <v>Inventory</v>
          </cell>
        </row>
        <row r="525">
          <cell r="D525" t="str">
            <v>140-02361</v>
          </cell>
          <cell r="F525" t="str">
            <v>Inventory</v>
          </cell>
        </row>
        <row r="526">
          <cell r="D526" t="str">
            <v>140-02361</v>
          </cell>
          <cell r="F526" t="str">
            <v>Inventory</v>
          </cell>
        </row>
        <row r="527">
          <cell r="D527" t="str">
            <v>140-02361</v>
          </cell>
          <cell r="F527" t="str">
            <v>Inventory</v>
          </cell>
        </row>
        <row r="528">
          <cell r="D528" t="str">
            <v>140-02361</v>
          </cell>
          <cell r="F528" t="str">
            <v>Inventory</v>
          </cell>
        </row>
        <row r="529">
          <cell r="D529" t="str">
            <v>140-02361</v>
          </cell>
          <cell r="F529" t="str">
            <v>Inventory</v>
          </cell>
        </row>
        <row r="530">
          <cell r="D530" t="str">
            <v>140-02361</v>
          </cell>
          <cell r="F530" t="str">
            <v>Inventory</v>
          </cell>
        </row>
        <row r="531">
          <cell r="D531" t="str">
            <v>140-02361</v>
          </cell>
          <cell r="F531" t="str">
            <v>Inventory</v>
          </cell>
        </row>
        <row r="532">
          <cell r="D532" t="str">
            <v>140-02361</v>
          </cell>
          <cell r="F532" t="str">
            <v>Inventory</v>
          </cell>
        </row>
        <row r="533">
          <cell r="D533" t="str">
            <v>140-02361</v>
          </cell>
          <cell r="F533" t="str">
            <v>Inventory</v>
          </cell>
        </row>
        <row r="534">
          <cell r="D534" t="str">
            <v>140-02361</v>
          </cell>
          <cell r="F534" t="str">
            <v>Inventory</v>
          </cell>
        </row>
        <row r="535">
          <cell r="D535" t="str">
            <v>140-02361</v>
          </cell>
          <cell r="F535" t="str">
            <v>Inventory</v>
          </cell>
        </row>
        <row r="536">
          <cell r="D536" t="str">
            <v>140-02361</v>
          </cell>
          <cell r="F536" t="str">
            <v>Inventory</v>
          </cell>
        </row>
        <row r="537">
          <cell r="D537" t="str">
            <v>140-02361</v>
          </cell>
          <cell r="F537" t="str">
            <v>Inventory</v>
          </cell>
        </row>
        <row r="538">
          <cell r="D538" t="str">
            <v>140-02361</v>
          </cell>
          <cell r="F538" t="str">
            <v>Inventory</v>
          </cell>
        </row>
        <row r="539">
          <cell r="D539" t="str">
            <v>140-02361</v>
          </cell>
          <cell r="F539" t="str">
            <v>Inventory</v>
          </cell>
        </row>
        <row r="540">
          <cell r="D540" t="str">
            <v>140-02361</v>
          </cell>
          <cell r="F540" t="str">
            <v>Inventory</v>
          </cell>
        </row>
        <row r="541">
          <cell r="D541" t="str">
            <v>140-02361</v>
          </cell>
          <cell r="F541" t="str">
            <v>Inventory</v>
          </cell>
        </row>
        <row r="542">
          <cell r="D542" t="str">
            <v>140-02361</v>
          </cell>
          <cell r="F542" t="str">
            <v>Inventory</v>
          </cell>
        </row>
        <row r="543">
          <cell r="D543" t="str">
            <v>140-02361</v>
          </cell>
          <cell r="F543" t="str">
            <v>new shipment</v>
          </cell>
        </row>
        <row r="544">
          <cell r="D544" t="str">
            <v>140-02361</v>
          </cell>
          <cell r="F544" t="str">
            <v>new shipment</v>
          </cell>
        </row>
        <row r="545">
          <cell r="D545" t="str">
            <v>140-02361</v>
          </cell>
          <cell r="F545" t="str">
            <v>new shipment</v>
          </cell>
        </row>
        <row r="546">
          <cell r="D546" t="str">
            <v>140-02361</v>
          </cell>
          <cell r="F546" t="str">
            <v>new shipment</v>
          </cell>
        </row>
        <row r="547">
          <cell r="D547" t="str">
            <v>140-02361</v>
          </cell>
          <cell r="F547" t="str">
            <v>new shipment</v>
          </cell>
        </row>
        <row r="548">
          <cell r="D548" t="str">
            <v>140-02361</v>
          </cell>
          <cell r="F548" t="str">
            <v>new shipment</v>
          </cell>
        </row>
        <row r="549">
          <cell r="D549" t="str">
            <v>140-02361</v>
          </cell>
          <cell r="F549" t="str">
            <v>new shipment</v>
          </cell>
        </row>
        <row r="550">
          <cell r="D550" t="str">
            <v>140-02361</v>
          </cell>
          <cell r="F550" t="str">
            <v>new shipment</v>
          </cell>
        </row>
        <row r="551">
          <cell r="D551" t="str">
            <v>140-02361</v>
          </cell>
          <cell r="F551" t="str">
            <v>new shipment</v>
          </cell>
        </row>
        <row r="552">
          <cell r="D552" t="str">
            <v>140-02361</v>
          </cell>
          <cell r="F552" t="str">
            <v>new shipment</v>
          </cell>
        </row>
        <row r="553">
          <cell r="D553" t="str">
            <v>140-02361</v>
          </cell>
          <cell r="F553" t="str">
            <v>new shipment</v>
          </cell>
        </row>
        <row r="554">
          <cell r="D554" t="str">
            <v>140-02361</v>
          </cell>
          <cell r="F554" t="str">
            <v>new shipment</v>
          </cell>
        </row>
        <row r="555">
          <cell r="D555" t="str">
            <v>140-02361</v>
          </cell>
          <cell r="F555" t="str">
            <v>new shipment</v>
          </cell>
        </row>
        <row r="556">
          <cell r="D556" t="str">
            <v>140-02361</v>
          </cell>
          <cell r="F556" t="str">
            <v>new shipment</v>
          </cell>
        </row>
        <row r="557">
          <cell r="D557" t="str">
            <v>140-02361</v>
          </cell>
          <cell r="F557" t="str">
            <v>new shipment</v>
          </cell>
        </row>
        <row r="558">
          <cell r="D558" t="str">
            <v>140-02361</v>
          </cell>
          <cell r="F558" t="str">
            <v>new shipment</v>
          </cell>
        </row>
        <row r="559">
          <cell r="D559" t="str">
            <v>140-02361</v>
          </cell>
          <cell r="F559" t="str">
            <v>new shipment</v>
          </cell>
        </row>
        <row r="560">
          <cell r="D560" t="str">
            <v>145-00547</v>
          </cell>
          <cell r="F560" t="str">
            <v>Inventory</v>
          </cell>
        </row>
        <row r="561">
          <cell r="D561" t="str">
            <v>145-00547</v>
          </cell>
          <cell r="F561" t="str">
            <v>Inventory</v>
          </cell>
        </row>
        <row r="562">
          <cell r="D562" t="str">
            <v>145-00547</v>
          </cell>
          <cell r="F562" t="str">
            <v>Inventory</v>
          </cell>
        </row>
        <row r="563">
          <cell r="D563" t="str">
            <v>145-00547</v>
          </cell>
          <cell r="F563" t="str">
            <v>Inventory</v>
          </cell>
        </row>
        <row r="564">
          <cell r="D564" t="str">
            <v>145-00547</v>
          </cell>
          <cell r="F564" t="str">
            <v>Inventory</v>
          </cell>
        </row>
        <row r="565">
          <cell r="D565" t="str">
            <v>145-00547</v>
          </cell>
          <cell r="F565" t="str">
            <v>new shipment</v>
          </cell>
        </row>
        <row r="566">
          <cell r="D566" t="str">
            <v>145-00547</v>
          </cell>
          <cell r="F566" t="str">
            <v>new shipment</v>
          </cell>
        </row>
        <row r="567">
          <cell r="D567" t="str">
            <v>145-00547</v>
          </cell>
          <cell r="F567" t="str">
            <v>new shipment</v>
          </cell>
        </row>
        <row r="568">
          <cell r="D568" t="str">
            <v>145-00547</v>
          </cell>
          <cell r="F568" t="str">
            <v>new shipment</v>
          </cell>
        </row>
        <row r="569">
          <cell r="D569" t="str">
            <v>145-00547</v>
          </cell>
          <cell r="F569" t="str">
            <v>new shipment</v>
          </cell>
        </row>
        <row r="570">
          <cell r="D570" t="str">
            <v>145-00547</v>
          </cell>
          <cell r="F570" t="str">
            <v>new shipment</v>
          </cell>
        </row>
        <row r="571">
          <cell r="D571" t="str">
            <v>140-02677</v>
          </cell>
          <cell r="F571" t="str">
            <v>Inventory</v>
          </cell>
        </row>
        <row r="572">
          <cell r="D572" t="str">
            <v>140-02677</v>
          </cell>
          <cell r="F572" t="str">
            <v>new shipment</v>
          </cell>
        </row>
        <row r="573">
          <cell r="D573" t="str">
            <v>145-00326</v>
          </cell>
          <cell r="F573" t="str">
            <v>Inventory</v>
          </cell>
        </row>
        <row r="574">
          <cell r="D574" t="str">
            <v>145-00326</v>
          </cell>
          <cell r="F574" t="str">
            <v>Inventory</v>
          </cell>
        </row>
        <row r="575">
          <cell r="D575" t="str">
            <v>145-00326</v>
          </cell>
          <cell r="F575" t="str">
            <v>Inventory</v>
          </cell>
        </row>
        <row r="576">
          <cell r="D576" t="str">
            <v>145-00326</v>
          </cell>
          <cell r="F576" t="str">
            <v>Inventory</v>
          </cell>
        </row>
        <row r="577">
          <cell r="D577" t="str">
            <v>145-00326</v>
          </cell>
          <cell r="F577" t="str">
            <v>Inventory</v>
          </cell>
        </row>
        <row r="578">
          <cell r="D578" t="str">
            <v>145-00326</v>
          </cell>
          <cell r="F578" t="str">
            <v>Inventory</v>
          </cell>
        </row>
        <row r="579">
          <cell r="D579" t="str">
            <v>145-00326</v>
          </cell>
          <cell r="F579" t="str">
            <v>Inventory</v>
          </cell>
        </row>
        <row r="580">
          <cell r="D580" t="str">
            <v>145-00326</v>
          </cell>
          <cell r="F580" t="str">
            <v>Inventory</v>
          </cell>
        </row>
        <row r="581">
          <cell r="D581" t="str">
            <v>140-03009</v>
          </cell>
          <cell r="F581" t="str">
            <v>Inventory</v>
          </cell>
        </row>
        <row r="582">
          <cell r="D582" t="str">
            <v>140-03009</v>
          </cell>
          <cell r="F582" t="str">
            <v>Inventory</v>
          </cell>
        </row>
        <row r="583">
          <cell r="D583" t="str">
            <v>140-03009</v>
          </cell>
          <cell r="F583" t="str">
            <v>Inventory</v>
          </cell>
        </row>
        <row r="584">
          <cell r="D584" t="str">
            <v>140-03009</v>
          </cell>
          <cell r="F584" t="str">
            <v>Inventory</v>
          </cell>
        </row>
        <row r="585">
          <cell r="D585" t="str">
            <v>140-03009</v>
          </cell>
          <cell r="F585" t="str">
            <v>Inventory</v>
          </cell>
        </row>
        <row r="586">
          <cell r="D586" t="str">
            <v>145-00326</v>
          </cell>
          <cell r="F586" t="str">
            <v>Inventory</v>
          </cell>
        </row>
        <row r="587">
          <cell r="D587" t="str">
            <v>140-03009</v>
          </cell>
          <cell r="F587" t="str">
            <v>Inventory</v>
          </cell>
        </row>
        <row r="588">
          <cell r="D588" t="str">
            <v>140-03009</v>
          </cell>
          <cell r="F588" t="str">
            <v>Inventory</v>
          </cell>
        </row>
        <row r="589">
          <cell r="D589" t="str">
            <v>140-03009</v>
          </cell>
          <cell r="F589" t="str">
            <v>Inventory</v>
          </cell>
        </row>
        <row r="590">
          <cell r="D590" t="str">
            <v>140-03009</v>
          </cell>
          <cell r="F590" t="str">
            <v>Inventory</v>
          </cell>
        </row>
        <row r="591">
          <cell r="D591" t="str">
            <v>140-03009</v>
          </cell>
          <cell r="F591" t="str">
            <v>Inventory</v>
          </cell>
        </row>
        <row r="592">
          <cell r="D592" t="str">
            <v>140-03009</v>
          </cell>
          <cell r="F592" t="str">
            <v>Inventory</v>
          </cell>
        </row>
        <row r="593">
          <cell r="D593" t="str">
            <v>140-03009</v>
          </cell>
          <cell r="F593" t="str">
            <v>Inventory</v>
          </cell>
        </row>
        <row r="594">
          <cell r="D594" t="str">
            <v>140-03009</v>
          </cell>
          <cell r="F594" t="str">
            <v>Inventory</v>
          </cell>
        </row>
        <row r="595">
          <cell r="D595" t="str">
            <v>140-03009</v>
          </cell>
          <cell r="F595" t="str">
            <v>Inventory</v>
          </cell>
        </row>
        <row r="596">
          <cell r="D596" t="str">
            <v>140-03009</v>
          </cell>
          <cell r="F596" t="str">
            <v>Inventory</v>
          </cell>
        </row>
        <row r="597">
          <cell r="D597" t="str">
            <v>140-03009</v>
          </cell>
          <cell r="F597" t="str">
            <v>Inventory</v>
          </cell>
        </row>
        <row r="598">
          <cell r="D598" t="str">
            <v>140-03009</v>
          </cell>
          <cell r="F598" t="str">
            <v>Inventory</v>
          </cell>
        </row>
        <row r="599">
          <cell r="D599" t="str">
            <v>140-03009</v>
          </cell>
          <cell r="F599" t="str">
            <v>Inventory</v>
          </cell>
        </row>
        <row r="600">
          <cell r="D600" t="str">
            <v>140-03009</v>
          </cell>
          <cell r="F600" t="str">
            <v>Inventory</v>
          </cell>
        </row>
        <row r="601">
          <cell r="D601" t="str">
            <v>140-03009</v>
          </cell>
          <cell r="F601" t="str">
            <v>Inventory</v>
          </cell>
        </row>
        <row r="602">
          <cell r="D602" t="str">
            <v>140-03009</v>
          </cell>
          <cell r="F602" t="str">
            <v>Inventory</v>
          </cell>
        </row>
        <row r="603">
          <cell r="D603" t="str">
            <v>140-03009</v>
          </cell>
          <cell r="F603" t="str">
            <v>Inventory</v>
          </cell>
        </row>
        <row r="604">
          <cell r="D604" t="str">
            <v>140-03009</v>
          </cell>
          <cell r="F604" t="str">
            <v>Inventory</v>
          </cell>
        </row>
        <row r="605">
          <cell r="D605" t="str">
            <v>140-03009</v>
          </cell>
          <cell r="F605" t="str">
            <v>Inventory</v>
          </cell>
        </row>
        <row r="606">
          <cell r="D606" t="str">
            <v>140-03009</v>
          </cell>
          <cell r="F606" t="str">
            <v>Inventory</v>
          </cell>
        </row>
        <row r="607">
          <cell r="D607" t="str">
            <v>140-03009</v>
          </cell>
          <cell r="F607" t="str">
            <v>Inventory</v>
          </cell>
        </row>
        <row r="608">
          <cell r="D608" t="str">
            <v>140-03009</v>
          </cell>
          <cell r="F608" t="str">
            <v>Inventory</v>
          </cell>
        </row>
        <row r="609">
          <cell r="D609" t="str">
            <v>140-03009</v>
          </cell>
          <cell r="F609" t="str">
            <v>Inventory</v>
          </cell>
        </row>
        <row r="610">
          <cell r="D610" t="str">
            <v>140-03009</v>
          </cell>
          <cell r="F610" t="str">
            <v>Inventory</v>
          </cell>
        </row>
        <row r="611">
          <cell r="D611" t="str">
            <v>140-03009</v>
          </cell>
          <cell r="F611" t="str">
            <v>Inventory</v>
          </cell>
        </row>
        <row r="612">
          <cell r="D612" t="str">
            <v>140-03009</v>
          </cell>
          <cell r="F612" t="str">
            <v>Inventory</v>
          </cell>
        </row>
        <row r="613">
          <cell r="D613" t="str">
            <v>140-03009</v>
          </cell>
          <cell r="F613" t="str">
            <v>Inventory</v>
          </cell>
        </row>
        <row r="614">
          <cell r="D614" t="str">
            <v>140-03009</v>
          </cell>
          <cell r="F614" t="str">
            <v>Inventory</v>
          </cell>
        </row>
        <row r="615">
          <cell r="D615" t="str">
            <v>140-03009</v>
          </cell>
          <cell r="F615" t="str">
            <v>Inventory</v>
          </cell>
        </row>
        <row r="616">
          <cell r="D616" t="str">
            <v>140-03009</v>
          </cell>
          <cell r="F616" t="str">
            <v>Inventory</v>
          </cell>
        </row>
        <row r="617">
          <cell r="D617" t="str">
            <v>140-03009</v>
          </cell>
          <cell r="F617" t="str">
            <v>Inventory</v>
          </cell>
        </row>
        <row r="618">
          <cell r="D618" t="str">
            <v>140-03009</v>
          </cell>
          <cell r="F618" t="str">
            <v>Inventory</v>
          </cell>
        </row>
        <row r="619">
          <cell r="D619" t="str">
            <v>140-03009</v>
          </cell>
          <cell r="F619" t="str">
            <v>Inventory</v>
          </cell>
        </row>
        <row r="620">
          <cell r="D620" t="str">
            <v>140-03009</v>
          </cell>
          <cell r="F620" t="str">
            <v>Inventory</v>
          </cell>
        </row>
        <row r="621">
          <cell r="D621" t="str">
            <v>140-03009</v>
          </cell>
          <cell r="F621" t="str">
            <v>Inventory</v>
          </cell>
        </row>
        <row r="622">
          <cell r="D622" t="str">
            <v>140-03009</v>
          </cell>
          <cell r="F622" t="str">
            <v>Inventory</v>
          </cell>
        </row>
        <row r="623">
          <cell r="D623" t="str">
            <v>140-03009</v>
          </cell>
          <cell r="F623" t="str">
            <v>Inventory</v>
          </cell>
        </row>
        <row r="624">
          <cell r="D624" t="str">
            <v>140-03009</v>
          </cell>
          <cell r="F624" t="str">
            <v>Inventory</v>
          </cell>
        </row>
        <row r="625">
          <cell r="D625" t="str">
            <v>140-03009</v>
          </cell>
          <cell r="F625" t="str">
            <v>Inventory</v>
          </cell>
        </row>
        <row r="626">
          <cell r="D626" t="str">
            <v>140-03009</v>
          </cell>
          <cell r="F626" t="str">
            <v>Inventory</v>
          </cell>
        </row>
        <row r="627">
          <cell r="D627" t="str">
            <v>140-03009</v>
          </cell>
          <cell r="F627" t="str">
            <v>Inventory</v>
          </cell>
        </row>
        <row r="628">
          <cell r="D628" t="str">
            <v>140-03009</v>
          </cell>
          <cell r="F628" t="str">
            <v>Inventory</v>
          </cell>
        </row>
        <row r="629">
          <cell r="D629" t="str">
            <v>140-03009</v>
          </cell>
          <cell r="F629" t="str">
            <v>Inventory</v>
          </cell>
        </row>
        <row r="630">
          <cell r="D630" t="str">
            <v>140-03009</v>
          </cell>
          <cell r="F630" t="str">
            <v>Inventory</v>
          </cell>
        </row>
        <row r="631">
          <cell r="D631" t="str">
            <v>140-03260</v>
          </cell>
          <cell r="F631" t="str">
            <v>Inventory</v>
          </cell>
        </row>
        <row r="632">
          <cell r="D632" t="str">
            <v>140-03260</v>
          </cell>
          <cell r="F632" t="str">
            <v>Inventory</v>
          </cell>
        </row>
        <row r="633">
          <cell r="D633" t="str">
            <v>140-01467</v>
          </cell>
          <cell r="F633" t="str">
            <v>Inventory</v>
          </cell>
        </row>
        <row r="634">
          <cell r="D634" t="str">
            <v>140-01467</v>
          </cell>
          <cell r="F634" t="str">
            <v>Inventory</v>
          </cell>
        </row>
        <row r="635">
          <cell r="D635" t="str">
            <v>140-01467</v>
          </cell>
          <cell r="F635" t="str">
            <v>Inventory</v>
          </cell>
        </row>
        <row r="636">
          <cell r="D636" t="str">
            <v>140-01467</v>
          </cell>
          <cell r="F636" t="str">
            <v>Inventory</v>
          </cell>
        </row>
        <row r="637">
          <cell r="D637" t="str">
            <v>140-01467</v>
          </cell>
          <cell r="F637" t="str">
            <v>Inventory</v>
          </cell>
        </row>
        <row r="638">
          <cell r="D638" t="str">
            <v>140-01467</v>
          </cell>
          <cell r="F638" t="str">
            <v>Inventory</v>
          </cell>
        </row>
        <row r="639">
          <cell r="D639" t="str">
            <v>140-01467</v>
          </cell>
          <cell r="F639" t="str">
            <v>Inventory</v>
          </cell>
        </row>
        <row r="640">
          <cell r="D640" t="str">
            <v>140-01467</v>
          </cell>
          <cell r="F640" t="str">
            <v>Inventory</v>
          </cell>
        </row>
        <row r="641">
          <cell r="D641" t="str">
            <v>140-01467</v>
          </cell>
          <cell r="F641" t="str">
            <v>Inventory</v>
          </cell>
        </row>
        <row r="642">
          <cell r="D642" t="str">
            <v>140-01467</v>
          </cell>
          <cell r="F642" t="str">
            <v>New Shipment</v>
          </cell>
        </row>
        <row r="643">
          <cell r="D643" t="str">
            <v>140-01467</v>
          </cell>
          <cell r="F643" t="str">
            <v>New Shipment</v>
          </cell>
        </row>
        <row r="644">
          <cell r="D644" t="str">
            <v>140-01697</v>
          </cell>
          <cell r="F644" t="str">
            <v>Inventory</v>
          </cell>
        </row>
        <row r="645">
          <cell r="D645" t="str">
            <v>120-50338</v>
          </cell>
          <cell r="F645" t="str">
            <v>Inventory</v>
          </cell>
        </row>
        <row r="646">
          <cell r="D646" t="str">
            <v>120-50338</v>
          </cell>
          <cell r="F646" t="str">
            <v>Inventory</v>
          </cell>
        </row>
        <row r="647">
          <cell r="D647" t="str">
            <v>120-50338</v>
          </cell>
          <cell r="F647" t="str">
            <v>Inventory</v>
          </cell>
        </row>
        <row r="648">
          <cell r="D648" t="str">
            <v>120-50338</v>
          </cell>
          <cell r="F648" t="str">
            <v>Inventory</v>
          </cell>
        </row>
        <row r="649">
          <cell r="D649" t="str">
            <v>120-50338</v>
          </cell>
          <cell r="F649" t="str">
            <v>Inventory</v>
          </cell>
        </row>
        <row r="650">
          <cell r="D650" t="str">
            <v>120-50338</v>
          </cell>
          <cell r="F650" t="str">
            <v>Inventory</v>
          </cell>
        </row>
        <row r="651">
          <cell r="D651" t="str">
            <v>120-50338</v>
          </cell>
          <cell r="F651" t="str">
            <v>Inventory</v>
          </cell>
        </row>
        <row r="652">
          <cell r="D652" t="str">
            <v>120-50338</v>
          </cell>
          <cell r="F652" t="str">
            <v>Inventory</v>
          </cell>
        </row>
        <row r="653">
          <cell r="D653" t="str">
            <v>120-50338</v>
          </cell>
          <cell r="F653" t="str">
            <v>Inventory</v>
          </cell>
        </row>
        <row r="654">
          <cell r="D654" t="str">
            <v>120-50338</v>
          </cell>
          <cell r="F654" t="str">
            <v>Inventory</v>
          </cell>
        </row>
        <row r="655">
          <cell r="D655" t="str">
            <v>120-50338</v>
          </cell>
          <cell r="F655" t="str">
            <v>Inventory</v>
          </cell>
        </row>
        <row r="656">
          <cell r="D656" t="str">
            <v>120-50338</v>
          </cell>
          <cell r="F656" t="str">
            <v>Inventory</v>
          </cell>
        </row>
        <row r="657">
          <cell r="D657" t="str">
            <v>120-50338</v>
          </cell>
          <cell r="F657" t="str">
            <v>Inventory</v>
          </cell>
        </row>
        <row r="658">
          <cell r="D658" t="str">
            <v>120-50338</v>
          </cell>
          <cell r="F658" t="str">
            <v>Inventory</v>
          </cell>
        </row>
        <row r="659">
          <cell r="D659" t="str">
            <v>120-50338</v>
          </cell>
          <cell r="F659" t="str">
            <v>Inventory</v>
          </cell>
        </row>
        <row r="660">
          <cell r="D660" t="str">
            <v>120-50338</v>
          </cell>
          <cell r="F660" t="str">
            <v>Inventory</v>
          </cell>
        </row>
        <row r="661">
          <cell r="D661" t="str">
            <v>120-50338</v>
          </cell>
          <cell r="F661" t="str">
            <v>Inventory</v>
          </cell>
        </row>
        <row r="662">
          <cell r="D662" t="str">
            <v>120-50338</v>
          </cell>
          <cell r="F662" t="str">
            <v>Inventory</v>
          </cell>
        </row>
        <row r="663">
          <cell r="D663" t="str">
            <v>120-50338</v>
          </cell>
          <cell r="F663" t="str">
            <v>Inventory</v>
          </cell>
        </row>
        <row r="664">
          <cell r="D664" t="str">
            <v>120-50338</v>
          </cell>
          <cell r="F664" t="str">
            <v>Inventory</v>
          </cell>
        </row>
        <row r="665">
          <cell r="D665" t="str">
            <v>120-50338</v>
          </cell>
          <cell r="F665" t="str">
            <v>Inventory</v>
          </cell>
        </row>
        <row r="666">
          <cell r="D666" t="str">
            <v>120-50338</v>
          </cell>
          <cell r="F666" t="str">
            <v>Inventory</v>
          </cell>
        </row>
        <row r="667">
          <cell r="D667" t="str">
            <v>120-50338</v>
          </cell>
          <cell r="F667" t="str">
            <v>Inventory</v>
          </cell>
        </row>
        <row r="668">
          <cell r="D668" t="str">
            <v>120-50338</v>
          </cell>
          <cell r="F668" t="str">
            <v>Inventory</v>
          </cell>
        </row>
        <row r="669">
          <cell r="D669" t="str">
            <v>120-50338</v>
          </cell>
          <cell r="F669" t="str">
            <v>New Shipment</v>
          </cell>
        </row>
        <row r="670">
          <cell r="D670" t="str">
            <v>120-50233</v>
          </cell>
          <cell r="F670" t="str">
            <v>Inventory</v>
          </cell>
        </row>
        <row r="671">
          <cell r="D671" t="str">
            <v>120-50233</v>
          </cell>
          <cell r="F671" t="str">
            <v>Inventory</v>
          </cell>
        </row>
        <row r="672">
          <cell r="D672" t="str">
            <v>120-50233</v>
          </cell>
          <cell r="F672" t="str">
            <v>Inventory</v>
          </cell>
        </row>
        <row r="673">
          <cell r="D673" t="str">
            <v>120-50233</v>
          </cell>
          <cell r="F673" t="str">
            <v>Inventory</v>
          </cell>
        </row>
        <row r="674">
          <cell r="D674" t="str">
            <v>120-50233</v>
          </cell>
          <cell r="F674" t="str">
            <v>Inventory</v>
          </cell>
        </row>
        <row r="675">
          <cell r="D675" t="str">
            <v>120-50233</v>
          </cell>
          <cell r="F675" t="str">
            <v>Inventory</v>
          </cell>
        </row>
        <row r="676">
          <cell r="D676" t="str">
            <v>120-50233</v>
          </cell>
          <cell r="F676" t="str">
            <v>Inventory</v>
          </cell>
        </row>
        <row r="677">
          <cell r="D677" t="str">
            <v>120-50233</v>
          </cell>
          <cell r="F677" t="str">
            <v>New Shipment</v>
          </cell>
        </row>
        <row r="678">
          <cell r="D678" t="str">
            <v>120-50233</v>
          </cell>
          <cell r="F678" t="str">
            <v>New Shipment</v>
          </cell>
        </row>
        <row r="679">
          <cell r="D679" t="str">
            <v>120-50233</v>
          </cell>
          <cell r="F679" t="str">
            <v>New Shipment</v>
          </cell>
        </row>
        <row r="680">
          <cell r="D680" t="str">
            <v>125-00501</v>
          </cell>
          <cell r="F680" t="str">
            <v>Inventory</v>
          </cell>
        </row>
        <row r="681">
          <cell r="D681" t="str">
            <v>125-00501</v>
          </cell>
          <cell r="F681" t="str">
            <v>Inventory</v>
          </cell>
        </row>
        <row r="682">
          <cell r="D682" t="str">
            <v>125-00501</v>
          </cell>
          <cell r="F682" t="str">
            <v>Inventory</v>
          </cell>
        </row>
        <row r="683">
          <cell r="D683" t="str">
            <v>125-00501</v>
          </cell>
          <cell r="F683" t="str">
            <v>Inventory</v>
          </cell>
        </row>
        <row r="684">
          <cell r="D684" t="str">
            <v>130-05236</v>
          </cell>
          <cell r="F684" t="str">
            <v>Inventory</v>
          </cell>
        </row>
        <row r="685">
          <cell r="D685" t="str">
            <v>130-05236</v>
          </cell>
          <cell r="F685" t="str">
            <v>Inventory</v>
          </cell>
        </row>
        <row r="686">
          <cell r="D686" t="str">
            <v>130-05236</v>
          </cell>
          <cell r="F686" t="str">
            <v>Inventory</v>
          </cell>
        </row>
        <row r="687">
          <cell r="D687" t="str">
            <v>130-05236</v>
          </cell>
          <cell r="F687" t="str">
            <v>Inventory</v>
          </cell>
        </row>
        <row r="688">
          <cell r="D688" t="str">
            <v>130-00872</v>
          </cell>
          <cell r="F688" t="str">
            <v>Inventory</v>
          </cell>
        </row>
        <row r="689">
          <cell r="D689" t="str">
            <v>130-00872</v>
          </cell>
          <cell r="F689" t="str">
            <v>Inventory</v>
          </cell>
        </row>
        <row r="690">
          <cell r="D690" t="str">
            <v>130-00872</v>
          </cell>
          <cell r="F690" t="str">
            <v>Inventory</v>
          </cell>
        </row>
        <row r="691">
          <cell r="D691" t="str">
            <v>130-00872</v>
          </cell>
          <cell r="F691" t="str">
            <v>Inventory</v>
          </cell>
        </row>
        <row r="692">
          <cell r="D692" t="str">
            <v>130-00777</v>
          </cell>
          <cell r="F692" t="str">
            <v>Inventory</v>
          </cell>
        </row>
        <row r="693">
          <cell r="D693" t="str">
            <v>130-00777</v>
          </cell>
          <cell r="F693" t="str">
            <v>Inventory</v>
          </cell>
        </row>
        <row r="694">
          <cell r="D694" t="str">
            <v>130-00777</v>
          </cell>
          <cell r="F694" t="str">
            <v>Inventory</v>
          </cell>
        </row>
        <row r="695">
          <cell r="D695" t="str">
            <v>130-00777</v>
          </cell>
          <cell r="F695" t="str">
            <v>Inventory</v>
          </cell>
        </row>
        <row r="696">
          <cell r="D696" t="str">
            <v>130-00777</v>
          </cell>
          <cell r="F696" t="str">
            <v>Inventory</v>
          </cell>
        </row>
        <row r="697">
          <cell r="D697" t="str">
            <v>130-00777</v>
          </cell>
          <cell r="F697" t="str">
            <v>Inventory</v>
          </cell>
        </row>
        <row r="698">
          <cell r="D698" t="str">
            <v>130-00777</v>
          </cell>
          <cell r="F698" t="str">
            <v>Inventory</v>
          </cell>
        </row>
        <row r="699">
          <cell r="D699" t="str">
            <v>130-00863</v>
          </cell>
          <cell r="F699" t="str">
            <v>Inventory</v>
          </cell>
        </row>
        <row r="700">
          <cell r="D700" t="str">
            <v>130-00863</v>
          </cell>
          <cell r="F700" t="str">
            <v>Inventory</v>
          </cell>
        </row>
        <row r="701">
          <cell r="D701" t="str">
            <v>130-00962</v>
          </cell>
          <cell r="F701" t="str">
            <v>Inventory</v>
          </cell>
        </row>
        <row r="702">
          <cell r="D702" t="str">
            <v>130-00962</v>
          </cell>
          <cell r="F702" t="str">
            <v>Inventory</v>
          </cell>
        </row>
        <row r="703">
          <cell r="D703" t="str">
            <v>120-50297</v>
          </cell>
          <cell r="F703" t="str">
            <v>Inventory</v>
          </cell>
        </row>
        <row r="704">
          <cell r="D704" t="str">
            <v>120-50297</v>
          </cell>
          <cell r="F704" t="str">
            <v>Inventory</v>
          </cell>
        </row>
        <row r="705">
          <cell r="D705" t="str">
            <v>120-50297</v>
          </cell>
          <cell r="F705" t="str">
            <v>Inventory</v>
          </cell>
        </row>
        <row r="706">
          <cell r="D706" t="str">
            <v>120-50297</v>
          </cell>
          <cell r="F706" t="str">
            <v>Inventory</v>
          </cell>
        </row>
        <row r="707">
          <cell r="D707" t="str">
            <v>120-50297</v>
          </cell>
          <cell r="F707" t="str">
            <v>Inventory</v>
          </cell>
        </row>
        <row r="708">
          <cell r="D708" t="str">
            <v>120-50297</v>
          </cell>
          <cell r="F708" t="str">
            <v>Inventory</v>
          </cell>
        </row>
        <row r="709">
          <cell r="D709" t="str">
            <v>120-50297</v>
          </cell>
          <cell r="F709" t="str">
            <v>Inventory</v>
          </cell>
        </row>
        <row r="710">
          <cell r="D710" t="str">
            <v>120-50297</v>
          </cell>
          <cell r="F710" t="str">
            <v>Inventory</v>
          </cell>
        </row>
        <row r="711">
          <cell r="D711" t="str">
            <v>120-50297</v>
          </cell>
          <cell r="F711" t="str">
            <v>Inventory</v>
          </cell>
        </row>
        <row r="712">
          <cell r="D712" t="str">
            <v>120-50297</v>
          </cell>
          <cell r="F712" t="str">
            <v>Inventory</v>
          </cell>
        </row>
        <row r="713">
          <cell r="D713" t="str">
            <v>120-50297</v>
          </cell>
          <cell r="F713" t="str">
            <v>Inventory</v>
          </cell>
        </row>
        <row r="714">
          <cell r="D714" t="str">
            <v>120-50297</v>
          </cell>
          <cell r="F714" t="str">
            <v>Inventory</v>
          </cell>
        </row>
        <row r="715">
          <cell r="D715" t="str">
            <v>120-50297</v>
          </cell>
          <cell r="F715" t="str">
            <v>Inventory</v>
          </cell>
        </row>
        <row r="716">
          <cell r="D716" t="str">
            <v>120-50297</v>
          </cell>
          <cell r="F716" t="str">
            <v>Inventory</v>
          </cell>
        </row>
        <row r="717">
          <cell r="D717" t="str">
            <v>120-50297</v>
          </cell>
          <cell r="F717" t="str">
            <v>Inventory</v>
          </cell>
        </row>
        <row r="718">
          <cell r="D718" t="str">
            <v>120-50328</v>
          </cell>
          <cell r="F718" t="str">
            <v>Inventory</v>
          </cell>
        </row>
        <row r="719">
          <cell r="D719" t="str">
            <v>120-50328</v>
          </cell>
          <cell r="F719" t="str">
            <v>Inventory</v>
          </cell>
        </row>
        <row r="720">
          <cell r="D720" t="str">
            <v>130-00951</v>
          </cell>
          <cell r="F720" t="str">
            <v>Inventory</v>
          </cell>
        </row>
        <row r="721">
          <cell r="D721" t="str">
            <v>130-01505</v>
          </cell>
          <cell r="F721" t="str">
            <v>Inventory</v>
          </cell>
        </row>
        <row r="722">
          <cell r="D722" t="str">
            <v>130-01532</v>
          </cell>
          <cell r="F722" t="str">
            <v>Inventory</v>
          </cell>
        </row>
        <row r="723">
          <cell r="D723" t="str">
            <v>130-01532</v>
          </cell>
          <cell r="F723" t="str">
            <v>Inventory</v>
          </cell>
        </row>
        <row r="724">
          <cell r="D724" t="str">
            <v>130-01532</v>
          </cell>
          <cell r="F724" t="str">
            <v>Inventory</v>
          </cell>
        </row>
        <row r="725">
          <cell r="D725" t="str">
            <v>160-00570</v>
          </cell>
          <cell r="F725" t="str">
            <v>Inventory</v>
          </cell>
        </row>
        <row r="726">
          <cell r="D726" t="str">
            <v>160-00570</v>
          </cell>
          <cell r="F726" t="str">
            <v>Inventory</v>
          </cell>
        </row>
        <row r="727">
          <cell r="D727" t="str">
            <v>160-00570</v>
          </cell>
          <cell r="F727" t="str">
            <v>Inventory</v>
          </cell>
        </row>
        <row r="728">
          <cell r="D728" t="str">
            <v>160-00570</v>
          </cell>
          <cell r="F728" t="str">
            <v>Inventory</v>
          </cell>
        </row>
        <row r="729">
          <cell r="D729" t="str">
            <v>160-00570</v>
          </cell>
          <cell r="F729" t="str">
            <v>Inventory</v>
          </cell>
        </row>
        <row r="730">
          <cell r="D730" t="str">
            <v>160-00570</v>
          </cell>
          <cell r="F730" t="str">
            <v>Inventory</v>
          </cell>
        </row>
        <row r="731">
          <cell r="D731" t="str">
            <v>160-00570</v>
          </cell>
          <cell r="F731" t="str">
            <v>Inventory</v>
          </cell>
        </row>
        <row r="732">
          <cell r="D732" t="str">
            <v>160-00570</v>
          </cell>
          <cell r="F732" t="str">
            <v>Inventory</v>
          </cell>
        </row>
        <row r="733">
          <cell r="D733" t="str">
            <v>160-00570</v>
          </cell>
          <cell r="F733" t="str">
            <v>Inventory</v>
          </cell>
        </row>
        <row r="734">
          <cell r="D734" t="str">
            <v>160-00570</v>
          </cell>
          <cell r="F734" t="str">
            <v>Inventory</v>
          </cell>
        </row>
        <row r="735">
          <cell r="D735" t="str">
            <v>160-00570</v>
          </cell>
          <cell r="F735" t="str">
            <v>Inventory</v>
          </cell>
        </row>
        <row r="736">
          <cell r="D736" t="str">
            <v>160-00570</v>
          </cell>
          <cell r="F736" t="str">
            <v>Inventory</v>
          </cell>
        </row>
        <row r="737">
          <cell r="D737" t="str">
            <v>160-00570</v>
          </cell>
          <cell r="F737" t="str">
            <v>Inventory</v>
          </cell>
        </row>
        <row r="738">
          <cell r="D738" t="str">
            <v>160-00570</v>
          </cell>
          <cell r="F738" t="str">
            <v>Inventory</v>
          </cell>
        </row>
        <row r="739">
          <cell r="D739" t="str">
            <v>160-00570</v>
          </cell>
          <cell r="F739" t="str">
            <v>Inventory</v>
          </cell>
        </row>
        <row r="740">
          <cell r="D740" t="str">
            <v>160-00570</v>
          </cell>
          <cell r="F740" t="str">
            <v>Inventory</v>
          </cell>
        </row>
        <row r="741">
          <cell r="D741" t="str">
            <v>160-00570</v>
          </cell>
          <cell r="F741" t="str">
            <v>Inventory</v>
          </cell>
        </row>
        <row r="742">
          <cell r="D742" t="str">
            <v>160-00570</v>
          </cell>
          <cell r="F742" t="str">
            <v>Inventory</v>
          </cell>
        </row>
        <row r="743">
          <cell r="D743" t="str">
            <v>160-00570</v>
          </cell>
          <cell r="F743" t="str">
            <v>Inventory</v>
          </cell>
        </row>
        <row r="744">
          <cell r="D744" t="str">
            <v>160-00570</v>
          </cell>
          <cell r="F744" t="str">
            <v>Inventory</v>
          </cell>
        </row>
        <row r="745">
          <cell r="D745" t="str">
            <v>160-00570</v>
          </cell>
          <cell r="F745" t="str">
            <v>Inventory</v>
          </cell>
        </row>
        <row r="746">
          <cell r="D746" t="str">
            <v>160-00570</v>
          </cell>
          <cell r="F746" t="str">
            <v>Inventory</v>
          </cell>
        </row>
        <row r="747">
          <cell r="D747" t="str">
            <v>160-00570</v>
          </cell>
          <cell r="F747" t="str">
            <v>Inventory</v>
          </cell>
        </row>
        <row r="748">
          <cell r="D748" t="str">
            <v>160-00570</v>
          </cell>
          <cell r="F748" t="str">
            <v>Inventory</v>
          </cell>
        </row>
        <row r="749">
          <cell r="D749" t="str">
            <v>160-00570</v>
          </cell>
          <cell r="F749" t="str">
            <v>Inventory</v>
          </cell>
        </row>
        <row r="750">
          <cell r="D750" t="str">
            <v>160-00570</v>
          </cell>
          <cell r="F750" t="str">
            <v>Inventory</v>
          </cell>
        </row>
        <row r="751">
          <cell r="D751" t="str">
            <v>160-00570</v>
          </cell>
          <cell r="F751" t="str">
            <v>Inventory</v>
          </cell>
        </row>
        <row r="752">
          <cell r="D752" t="str">
            <v>160-00699</v>
          </cell>
          <cell r="F752" t="str">
            <v>Inventory</v>
          </cell>
        </row>
        <row r="753">
          <cell r="D753" t="str">
            <v>160-00699</v>
          </cell>
          <cell r="F753" t="str">
            <v>Inventory</v>
          </cell>
        </row>
        <row r="754">
          <cell r="D754" t="str">
            <v>160-00699</v>
          </cell>
          <cell r="F754" t="str">
            <v>Inventory</v>
          </cell>
        </row>
        <row r="755">
          <cell r="D755" t="str">
            <v>160-00699</v>
          </cell>
          <cell r="F755" t="str">
            <v>Inventory</v>
          </cell>
        </row>
        <row r="756">
          <cell r="D756" t="str">
            <v>160-00699</v>
          </cell>
          <cell r="F756" t="str">
            <v>Inventory</v>
          </cell>
        </row>
        <row r="757">
          <cell r="D757" t="str">
            <v>160-00699</v>
          </cell>
          <cell r="F757" t="str">
            <v>Inventory</v>
          </cell>
        </row>
        <row r="758">
          <cell r="D758" t="str">
            <v>160-00699</v>
          </cell>
          <cell r="F758" t="str">
            <v>Inventory</v>
          </cell>
        </row>
        <row r="759">
          <cell r="D759" t="str">
            <v>160-00699</v>
          </cell>
          <cell r="F759" t="str">
            <v>Inventory</v>
          </cell>
        </row>
        <row r="760">
          <cell r="D760" t="str">
            <v>160-00699</v>
          </cell>
          <cell r="F760" t="str">
            <v>Inventory</v>
          </cell>
        </row>
        <row r="761">
          <cell r="D761" t="str">
            <v>160-00699</v>
          </cell>
          <cell r="F761" t="str">
            <v>Inventory</v>
          </cell>
        </row>
        <row r="762">
          <cell r="D762" t="str">
            <v>160-00702</v>
          </cell>
          <cell r="F762" t="str">
            <v>Inventory</v>
          </cell>
        </row>
        <row r="763">
          <cell r="D763" t="str">
            <v>160-00702</v>
          </cell>
          <cell r="F763" t="str">
            <v>Inventory</v>
          </cell>
        </row>
        <row r="764">
          <cell r="D764" t="str">
            <v>160-00702</v>
          </cell>
          <cell r="F764" t="str">
            <v>Inventory</v>
          </cell>
        </row>
        <row r="765">
          <cell r="D765" t="str">
            <v>160-00702</v>
          </cell>
          <cell r="F765" t="str">
            <v>Inventory</v>
          </cell>
        </row>
        <row r="766">
          <cell r="D766" t="str">
            <v>160-00580</v>
          </cell>
          <cell r="F766" t="str">
            <v>Inventory</v>
          </cell>
        </row>
        <row r="767">
          <cell r="D767" t="str">
            <v>160-00580</v>
          </cell>
          <cell r="F767" t="str">
            <v>Inventory</v>
          </cell>
        </row>
        <row r="768">
          <cell r="D768" t="str">
            <v>160-00733</v>
          </cell>
          <cell r="F768" t="str">
            <v>Inventory</v>
          </cell>
        </row>
        <row r="769">
          <cell r="D769" t="str">
            <v>160-00733</v>
          </cell>
          <cell r="F769" t="str">
            <v>Inventory</v>
          </cell>
        </row>
        <row r="770">
          <cell r="D770" t="str">
            <v>160-00733</v>
          </cell>
          <cell r="F770" t="str">
            <v>Inventory</v>
          </cell>
        </row>
        <row r="771">
          <cell r="D771" t="str">
            <v>160-00733</v>
          </cell>
          <cell r="F771" t="str">
            <v>Inventory</v>
          </cell>
        </row>
        <row r="772">
          <cell r="D772" t="str">
            <v>160-00733</v>
          </cell>
          <cell r="F772" t="str">
            <v>Inventory</v>
          </cell>
        </row>
        <row r="773">
          <cell r="D773" t="str">
            <v>160-00733</v>
          </cell>
          <cell r="F773" t="str">
            <v>Inventory</v>
          </cell>
        </row>
        <row r="774">
          <cell r="D774" t="str">
            <v>160-00733</v>
          </cell>
          <cell r="F774" t="str">
            <v>Inventory</v>
          </cell>
        </row>
        <row r="775">
          <cell r="D775" t="str">
            <v>160-00733</v>
          </cell>
          <cell r="F775" t="str">
            <v>Inventory</v>
          </cell>
        </row>
        <row r="776">
          <cell r="D776" t="str">
            <v>160-00733</v>
          </cell>
          <cell r="F776" t="str">
            <v>Inventory</v>
          </cell>
        </row>
        <row r="777">
          <cell r="D777" t="str">
            <v>160-00733</v>
          </cell>
          <cell r="F777" t="str">
            <v>Inventory</v>
          </cell>
        </row>
        <row r="778">
          <cell r="D778" t="str">
            <v>160-00733</v>
          </cell>
          <cell r="F778" t="str">
            <v>Inventory</v>
          </cell>
        </row>
        <row r="779">
          <cell r="D779" t="str">
            <v>160-00733</v>
          </cell>
          <cell r="F779" t="str">
            <v>Inventory</v>
          </cell>
        </row>
        <row r="780">
          <cell r="D780" t="str">
            <v>160-00733</v>
          </cell>
          <cell r="F780" t="str">
            <v>Inventory</v>
          </cell>
        </row>
        <row r="781">
          <cell r="D781" t="str">
            <v>160-00733</v>
          </cell>
          <cell r="F781" t="str">
            <v>Inventory</v>
          </cell>
        </row>
        <row r="782">
          <cell r="D782" t="str">
            <v>160-00733</v>
          </cell>
          <cell r="F782" t="str">
            <v>Inventory</v>
          </cell>
        </row>
        <row r="783">
          <cell r="D783" t="str">
            <v>160-00733</v>
          </cell>
          <cell r="F783" t="str">
            <v>Inventory</v>
          </cell>
        </row>
        <row r="784">
          <cell r="D784" t="str">
            <v>160-00733</v>
          </cell>
          <cell r="F784" t="str">
            <v>New Shipment</v>
          </cell>
        </row>
        <row r="785">
          <cell r="D785" t="str">
            <v>160-01041</v>
          </cell>
          <cell r="F785" t="str">
            <v>Inventory</v>
          </cell>
        </row>
        <row r="786">
          <cell r="D786" t="str">
            <v>160-01041</v>
          </cell>
          <cell r="F786" t="str">
            <v>New Shipment</v>
          </cell>
        </row>
        <row r="787">
          <cell r="D787" t="str">
            <v>160-00944</v>
          </cell>
          <cell r="F787" t="str">
            <v>Inventory</v>
          </cell>
        </row>
        <row r="788">
          <cell r="D788" t="str">
            <v>160-00944</v>
          </cell>
          <cell r="F788" t="str">
            <v>Inventory</v>
          </cell>
        </row>
        <row r="789">
          <cell r="D789" t="str">
            <v>160-00944</v>
          </cell>
          <cell r="F789" t="str">
            <v>Inventory</v>
          </cell>
        </row>
        <row r="790">
          <cell r="D790" t="str">
            <v>160-00944</v>
          </cell>
          <cell r="F790" t="str">
            <v>Inventory</v>
          </cell>
        </row>
        <row r="791">
          <cell r="D791" t="str">
            <v>160-00945</v>
          </cell>
          <cell r="F791" t="str">
            <v>Inventory</v>
          </cell>
        </row>
        <row r="792">
          <cell r="D792" t="str">
            <v>160-00945</v>
          </cell>
          <cell r="F792" t="str">
            <v>Inventory</v>
          </cell>
        </row>
        <row r="793">
          <cell r="D793" t="str">
            <v>160-00945</v>
          </cell>
          <cell r="F793" t="str">
            <v>Inventory</v>
          </cell>
        </row>
        <row r="794">
          <cell r="D794" t="str">
            <v>160-00945</v>
          </cell>
          <cell r="F794" t="str">
            <v>Inventory</v>
          </cell>
        </row>
        <row r="795">
          <cell r="D795" t="str">
            <v>160-00945</v>
          </cell>
          <cell r="F795" t="str">
            <v>Inventory</v>
          </cell>
        </row>
        <row r="796">
          <cell r="D796" t="str">
            <v>160-00945</v>
          </cell>
          <cell r="F796" t="str">
            <v>Inventory</v>
          </cell>
        </row>
        <row r="797">
          <cell r="D797" t="str">
            <v>120-50166</v>
          </cell>
          <cell r="F797" t="str">
            <v>Inventory</v>
          </cell>
        </row>
        <row r="798">
          <cell r="D798" t="str">
            <v>120-50166</v>
          </cell>
          <cell r="F798" t="str">
            <v>Inventory</v>
          </cell>
        </row>
        <row r="799">
          <cell r="D799" t="str">
            <v>120-50166</v>
          </cell>
          <cell r="F799" t="str">
            <v>New Shipment</v>
          </cell>
        </row>
        <row r="800">
          <cell r="D800" t="str">
            <v>140-01531</v>
          </cell>
          <cell r="F800" t="str">
            <v>Inventory</v>
          </cell>
        </row>
        <row r="801">
          <cell r="D801" t="str">
            <v>140-01531</v>
          </cell>
          <cell r="F801" t="str">
            <v>Inventory</v>
          </cell>
        </row>
        <row r="802">
          <cell r="D802" t="str">
            <v>130-00912</v>
          </cell>
          <cell r="F802" t="str">
            <v>Inventory</v>
          </cell>
        </row>
        <row r="803">
          <cell r="D803" t="str">
            <v>130-00912</v>
          </cell>
          <cell r="F803" t="str">
            <v>Inventory</v>
          </cell>
        </row>
        <row r="804">
          <cell r="D804" t="str">
            <v>130-00912</v>
          </cell>
          <cell r="F804" t="str">
            <v>Inventory</v>
          </cell>
        </row>
        <row r="805">
          <cell r="D805" t="str">
            <v>130-00912</v>
          </cell>
          <cell r="F805" t="str">
            <v>Inventory</v>
          </cell>
        </row>
        <row r="806">
          <cell r="D806" t="str">
            <v>130-00912</v>
          </cell>
          <cell r="F806" t="str">
            <v>New Shipment</v>
          </cell>
        </row>
        <row r="807">
          <cell r="D807" t="str">
            <v>130-00912</v>
          </cell>
          <cell r="F807" t="str">
            <v>New Shipment</v>
          </cell>
        </row>
        <row r="808">
          <cell r="D808" t="str">
            <v>130-00912</v>
          </cell>
          <cell r="F808" t="str">
            <v>New Shipment</v>
          </cell>
        </row>
        <row r="809">
          <cell r="D809" t="str">
            <v>130-00912</v>
          </cell>
          <cell r="F809" t="str">
            <v>New Shipment</v>
          </cell>
        </row>
        <row r="810">
          <cell r="D810" t="str">
            <v>130-00912</v>
          </cell>
          <cell r="F810" t="str">
            <v>New Shipment</v>
          </cell>
        </row>
        <row r="811">
          <cell r="D811" t="str">
            <v>130-00343</v>
          </cell>
          <cell r="F811" t="str">
            <v>Inventory</v>
          </cell>
        </row>
        <row r="812">
          <cell r="D812" t="str">
            <v>130-00343</v>
          </cell>
          <cell r="F812" t="str">
            <v>Inventory</v>
          </cell>
        </row>
        <row r="813">
          <cell r="D813" t="str">
            <v>130-00343</v>
          </cell>
          <cell r="F813" t="str">
            <v>Inventory</v>
          </cell>
        </row>
        <row r="814">
          <cell r="D814" t="str">
            <v>130-00343</v>
          </cell>
          <cell r="F814" t="str">
            <v>Inventory</v>
          </cell>
        </row>
        <row r="815">
          <cell r="D815" t="str">
            <v>130-00343</v>
          </cell>
          <cell r="F815" t="str">
            <v>Inventory</v>
          </cell>
        </row>
        <row r="816">
          <cell r="D816" t="str">
            <v>130-00343</v>
          </cell>
          <cell r="F816" t="str">
            <v>Inventory</v>
          </cell>
        </row>
        <row r="817">
          <cell r="D817" t="str">
            <v>130-00343</v>
          </cell>
          <cell r="F817" t="str">
            <v>Inventory</v>
          </cell>
        </row>
        <row r="818">
          <cell r="D818" t="str">
            <v>130-00343</v>
          </cell>
          <cell r="F818" t="str">
            <v>Inventory</v>
          </cell>
        </row>
        <row r="819">
          <cell r="D819" t="str">
            <v>130-00343</v>
          </cell>
          <cell r="F819" t="str">
            <v>New Shipment</v>
          </cell>
        </row>
        <row r="820">
          <cell r="D820" t="str">
            <v>130-00343</v>
          </cell>
          <cell r="F820" t="str">
            <v>New Shipment</v>
          </cell>
        </row>
        <row r="821">
          <cell r="D821" t="str">
            <v>130-00343</v>
          </cell>
          <cell r="F821" t="str">
            <v>New Shipment</v>
          </cell>
        </row>
        <row r="822">
          <cell r="D822" t="str">
            <v>130-00343</v>
          </cell>
          <cell r="F822" t="str">
            <v>New Shipment</v>
          </cell>
        </row>
        <row r="823">
          <cell r="D823" t="str">
            <v>130-00343</v>
          </cell>
          <cell r="F823" t="str">
            <v>New Shipment</v>
          </cell>
        </row>
        <row r="824">
          <cell r="D824" t="str">
            <v>130-00352</v>
          </cell>
          <cell r="F824" t="str">
            <v>Inventory</v>
          </cell>
        </row>
        <row r="825">
          <cell r="D825" t="str">
            <v>130-00352</v>
          </cell>
          <cell r="F825" t="str">
            <v>Inventory</v>
          </cell>
        </row>
        <row r="826">
          <cell r="D826" t="str">
            <v>130-00352</v>
          </cell>
          <cell r="F826" t="str">
            <v>Inventory</v>
          </cell>
        </row>
        <row r="827">
          <cell r="D827" t="str">
            <v>130-00352</v>
          </cell>
          <cell r="F827" t="str">
            <v>Inventory</v>
          </cell>
        </row>
        <row r="828">
          <cell r="D828" t="str">
            <v>130-00352</v>
          </cell>
          <cell r="F828" t="str">
            <v>Inventory</v>
          </cell>
        </row>
        <row r="829">
          <cell r="D829" t="str">
            <v>130-00352</v>
          </cell>
          <cell r="F829" t="str">
            <v>Inventory</v>
          </cell>
        </row>
        <row r="830">
          <cell r="D830" t="str">
            <v>130-00352</v>
          </cell>
          <cell r="F830" t="str">
            <v>Inventory</v>
          </cell>
        </row>
        <row r="831">
          <cell r="D831" t="str">
            <v>130-00352</v>
          </cell>
          <cell r="F831" t="str">
            <v>New Shipment</v>
          </cell>
        </row>
        <row r="832">
          <cell r="D832" t="str">
            <v>130-00352</v>
          </cell>
          <cell r="F832" t="str">
            <v>New Shipment</v>
          </cell>
        </row>
        <row r="833">
          <cell r="D833" t="str">
            <v>130-00352</v>
          </cell>
          <cell r="F833" t="str">
            <v>New Shipment</v>
          </cell>
        </row>
        <row r="834">
          <cell r="D834" t="str">
            <v>130-00352</v>
          </cell>
          <cell r="F834" t="str">
            <v>New Shipment</v>
          </cell>
        </row>
        <row r="835">
          <cell r="D835" t="str">
            <v>130-00352</v>
          </cell>
          <cell r="F835" t="str">
            <v>New Shipment</v>
          </cell>
        </row>
        <row r="836">
          <cell r="D836" t="str">
            <v>130-01824</v>
          </cell>
          <cell r="F836" t="str">
            <v>Inventory</v>
          </cell>
        </row>
        <row r="837">
          <cell r="D837" t="str">
            <v>130-01824</v>
          </cell>
          <cell r="F837" t="str">
            <v>New Shipment</v>
          </cell>
        </row>
        <row r="838">
          <cell r="D838" t="str">
            <v>190-00154</v>
          </cell>
          <cell r="F838" t="str">
            <v>Inventory</v>
          </cell>
        </row>
        <row r="839">
          <cell r="D839" t="str">
            <v>190-00154</v>
          </cell>
          <cell r="F839" t="str">
            <v>Inventory</v>
          </cell>
        </row>
        <row r="840">
          <cell r="D840" t="str">
            <v>190-00154</v>
          </cell>
          <cell r="F840" t="str">
            <v>Inventory</v>
          </cell>
        </row>
        <row r="841">
          <cell r="D841" t="str">
            <v>190-00154</v>
          </cell>
          <cell r="F841" t="str">
            <v>Inventory</v>
          </cell>
        </row>
        <row r="842">
          <cell r="D842" t="str">
            <v>190-00154</v>
          </cell>
          <cell r="F842" t="str">
            <v>New Shipment</v>
          </cell>
        </row>
        <row r="843">
          <cell r="D843" t="str">
            <v>190-00154</v>
          </cell>
          <cell r="F843" t="str">
            <v>New Shipment</v>
          </cell>
        </row>
        <row r="844">
          <cell r="D844" t="str">
            <v>190-00154</v>
          </cell>
          <cell r="F844" t="str">
            <v>New Shipment</v>
          </cell>
        </row>
        <row r="845">
          <cell r="D845" t="str">
            <v>190-00154</v>
          </cell>
          <cell r="F845" t="str">
            <v>New Shipment</v>
          </cell>
        </row>
        <row r="846">
          <cell r="D846" t="str">
            <v>140-01495</v>
          </cell>
          <cell r="F846" t="str">
            <v>Inventory</v>
          </cell>
        </row>
        <row r="847">
          <cell r="D847" t="str">
            <v>140-01495</v>
          </cell>
          <cell r="F847" t="str">
            <v>Inventory</v>
          </cell>
        </row>
        <row r="848">
          <cell r="D848" t="str">
            <v>140-01495</v>
          </cell>
          <cell r="F848" t="str">
            <v>Inventory</v>
          </cell>
        </row>
        <row r="849">
          <cell r="D849" t="str">
            <v>140-01495</v>
          </cell>
          <cell r="F849" t="str">
            <v>Inventory</v>
          </cell>
        </row>
        <row r="850">
          <cell r="D850" t="str">
            <v>140-01495</v>
          </cell>
          <cell r="F850" t="str">
            <v>Inventory</v>
          </cell>
        </row>
        <row r="851">
          <cell r="D851" t="str">
            <v>140-01676</v>
          </cell>
          <cell r="F851" t="str">
            <v>Inventory</v>
          </cell>
        </row>
        <row r="852">
          <cell r="D852" t="str">
            <v>140-01676</v>
          </cell>
          <cell r="F852" t="str">
            <v>Inventory</v>
          </cell>
        </row>
        <row r="853">
          <cell r="D853" t="str">
            <v>140-01676</v>
          </cell>
          <cell r="F853" t="str">
            <v>Inventory</v>
          </cell>
        </row>
        <row r="854">
          <cell r="D854" t="str">
            <v>140-01676</v>
          </cell>
          <cell r="F854" t="str">
            <v>Inventory</v>
          </cell>
        </row>
        <row r="855">
          <cell r="D855" t="str">
            <v>140-01676</v>
          </cell>
          <cell r="F855" t="str">
            <v>Inventory</v>
          </cell>
        </row>
        <row r="856">
          <cell r="D856" t="str">
            <v>140-01676</v>
          </cell>
          <cell r="F856" t="str">
            <v>Inventory</v>
          </cell>
        </row>
        <row r="857">
          <cell r="D857" t="str">
            <v>140-01676</v>
          </cell>
          <cell r="F857" t="str">
            <v>Inventory</v>
          </cell>
        </row>
        <row r="858">
          <cell r="D858" t="str">
            <v>140-01676</v>
          </cell>
          <cell r="F858" t="str">
            <v>New Shipment</v>
          </cell>
        </row>
        <row r="859">
          <cell r="D859" t="str">
            <v>140-01676</v>
          </cell>
          <cell r="F859" t="str">
            <v>New Shipment</v>
          </cell>
        </row>
        <row r="860">
          <cell r="D860" t="str">
            <v>140-01676</v>
          </cell>
          <cell r="F860" t="str">
            <v>New Shipment</v>
          </cell>
        </row>
        <row r="861">
          <cell r="D861" t="str">
            <v>140-01676</v>
          </cell>
          <cell r="F861" t="str">
            <v>New Shipment</v>
          </cell>
        </row>
        <row r="862">
          <cell r="D862" t="str">
            <v>140-01676</v>
          </cell>
          <cell r="F862" t="str">
            <v>New Shipment</v>
          </cell>
        </row>
        <row r="863">
          <cell r="D863" t="str">
            <v>140-01676</v>
          </cell>
          <cell r="F863" t="str">
            <v>New Shipment</v>
          </cell>
        </row>
        <row r="864">
          <cell r="D864" t="str">
            <v>160-00519</v>
          </cell>
          <cell r="F864" t="str">
            <v>Inventory</v>
          </cell>
        </row>
        <row r="865">
          <cell r="D865" t="str">
            <v>160-00519</v>
          </cell>
          <cell r="F865" t="str">
            <v>New Shipment</v>
          </cell>
        </row>
        <row r="866">
          <cell r="D866" t="str">
            <v>160-00519</v>
          </cell>
          <cell r="F866" t="str">
            <v>New Shipment</v>
          </cell>
        </row>
        <row r="867">
          <cell r="D867" t="str">
            <v>160-00716</v>
          </cell>
          <cell r="F867" t="str">
            <v>Inventory</v>
          </cell>
        </row>
        <row r="868">
          <cell r="D868" t="str">
            <v>160-00716</v>
          </cell>
          <cell r="F868" t="str">
            <v>New Shipment</v>
          </cell>
        </row>
        <row r="869">
          <cell r="D869" t="str">
            <v>160-00732</v>
          </cell>
          <cell r="F869" t="str">
            <v>Inventory</v>
          </cell>
        </row>
        <row r="870">
          <cell r="D870" t="str">
            <v>160-00732</v>
          </cell>
          <cell r="F870" t="str">
            <v>Inventory</v>
          </cell>
        </row>
        <row r="871">
          <cell r="D871" t="str">
            <v>160-00732</v>
          </cell>
          <cell r="F871" t="str">
            <v>Inventory</v>
          </cell>
        </row>
        <row r="872">
          <cell r="D872" t="str">
            <v>160-00732</v>
          </cell>
          <cell r="F872" t="str">
            <v>Inventory</v>
          </cell>
        </row>
        <row r="873">
          <cell r="D873" t="str">
            <v>160-00732</v>
          </cell>
          <cell r="F873" t="str">
            <v>Inventory</v>
          </cell>
        </row>
        <row r="874">
          <cell r="D874" t="str">
            <v>160-00732</v>
          </cell>
          <cell r="F874" t="str">
            <v>Inventory</v>
          </cell>
        </row>
        <row r="875">
          <cell r="D875" t="str">
            <v>160-00732</v>
          </cell>
          <cell r="F875" t="str">
            <v>Inventory</v>
          </cell>
        </row>
        <row r="876">
          <cell r="D876" t="str">
            <v>160-00732</v>
          </cell>
          <cell r="F876" t="str">
            <v>Inventory</v>
          </cell>
        </row>
        <row r="877">
          <cell r="D877" t="str">
            <v>160-00732</v>
          </cell>
          <cell r="F877" t="str">
            <v>Inventory</v>
          </cell>
        </row>
        <row r="878">
          <cell r="D878" t="str">
            <v>160-00732</v>
          </cell>
          <cell r="F878" t="str">
            <v>Inventory</v>
          </cell>
        </row>
        <row r="879">
          <cell r="D879" t="str">
            <v>160-00732</v>
          </cell>
          <cell r="F879" t="str">
            <v>Inventory</v>
          </cell>
        </row>
        <row r="880">
          <cell r="D880" t="str">
            <v>160-00732</v>
          </cell>
          <cell r="F880" t="str">
            <v>Inventory</v>
          </cell>
        </row>
        <row r="881">
          <cell r="D881" t="str">
            <v>160-00732</v>
          </cell>
          <cell r="F881" t="str">
            <v>Inventory</v>
          </cell>
        </row>
        <row r="882">
          <cell r="D882" t="str">
            <v>160-00732</v>
          </cell>
          <cell r="F882" t="str">
            <v>New Shipment</v>
          </cell>
        </row>
        <row r="883">
          <cell r="D883" t="str">
            <v>160-00732</v>
          </cell>
          <cell r="F883" t="str">
            <v>New Shipment</v>
          </cell>
        </row>
        <row r="884">
          <cell r="D884" t="str">
            <v>160-00732</v>
          </cell>
          <cell r="F884" t="str">
            <v>New Shipment</v>
          </cell>
        </row>
        <row r="885">
          <cell r="D885" t="str">
            <v>140-02515</v>
          </cell>
          <cell r="F885" t="str">
            <v>Inventory</v>
          </cell>
        </row>
        <row r="886">
          <cell r="D886" t="str">
            <v>140-02515</v>
          </cell>
          <cell r="F886" t="str">
            <v>Inventory</v>
          </cell>
        </row>
        <row r="887">
          <cell r="D887" t="str">
            <v>140-02515</v>
          </cell>
          <cell r="F887" t="str">
            <v>Inventory</v>
          </cell>
        </row>
        <row r="888">
          <cell r="D888" t="str">
            <v>140-02515</v>
          </cell>
          <cell r="F888" t="str">
            <v>Inventory</v>
          </cell>
        </row>
        <row r="889">
          <cell r="D889" t="str">
            <v>140-02555</v>
          </cell>
          <cell r="F889" t="str">
            <v>Inventory</v>
          </cell>
        </row>
        <row r="890">
          <cell r="D890" t="str">
            <v>140-02555</v>
          </cell>
          <cell r="F890" t="str">
            <v>Inventory</v>
          </cell>
        </row>
        <row r="891">
          <cell r="D891" t="str">
            <v>140-02517</v>
          </cell>
          <cell r="F891" t="str">
            <v>Inventory</v>
          </cell>
        </row>
        <row r="892">
          <cell r="D892" t="str">
            <v>140-02517</v>
          </cell>
          <cell r="F892" t="str">
            <v>Inventory</v>
          </cell>
        </row>
        <row r="893">
          <cell r="D893" t="str">
            <v>140-02518</v>
          </cell>
          <cell r="F893" t="str">
            <v>Inventory</v>
          </cell>
        </row>
        <row r="894">
          <cell r="D894" t="str">
            <v>140-02518</v>
          </cell>
          <cell r="F894" t="str">
            <v>Inventory</v>
          </cell>
        </row>
        <row r="895">
          <cell r="D895" t="str">
            <v>140-01733</v>
          </cell>
          <cell r="F895" t="str">
            <v>Inventory</v>
          </cell>
        </row>
        <row r="896">
          <cell r="D896" t="str">
            <v>140-01733</v>
          </cell>
          <cell r="F896" t="str">
            <v>Inventory</v>
          </cell>
        </row>
        <row r="897">
          <cell r="D897" t="str">
            <v>140-01733</v>
          </cell>
          <cell r="F897" t="str">
            <v>Inventory</v>
          </cell>
        </row>
        <row r="898">
          <cell r="D898" t="str">
            <v>140-01733</v>
          </cell>
          <cell r="F898" t="str">
            <v>Inventory</v>
          </cell>
        </row>
        <row r="899">
          <cell r="D899" t="str">
            <v>140-01733</v>
          </cell>
          <cell r="F899" t="str">
            <v>Inventory</v>
          </cell>
        </row>
        <row r="900">
          <cell r="D900" t="str">
            <v>140-01733</v>
          </cell>
          <cell r="F900" t="str">
            <v>Inventory</v>
          </cell>
        </row>
        <row r="901">
          <cell r="D901" t="str">
            <v>140-01732</v>
          </cell>
          <cell r="F901" t="str">
            <v>Inventory</v>
          </cell>
        </row>
        <row r="902">
          <cell r="D902" t="str">
            <v>140-01732</v>
          </cell>
          <cell r="F902" t="str">
            <v>Inventory</v>
          </cell>
        </row>
        <row r="903">
          <cell r="D903" t="str">
            <v>140-01732</v>
          </cell>
          <cell r="F903" t="str">
            <v>Inventory</v>
          </cell>
        </row>
        <row r="904">
          <cell r="D904" t="str">
            <v>140-01732</v>
          </cell>
          <cell r="F904" t="str">
            <v>Inventory</v>
          </cell>
        </row>
        <row r="905">
          <cell r="D905" t="str">
            <v>140-01732</v>
          </cell>
          <cell r="F905" t="str">
            <v>Inventory</v>
          </cell>
        </row>
        <row r="906">
          <cell r="D906" t="str">
            <v>140-01732</v>
          </cell>
          <cell r="F906" t="str">
            <v>Inventory</v>
          </cell>
        </row>
        <row r="907">
          <cell r="D907" t="str">
            <v>140-01732</v>
          </cell>
          <cell r="F907" t="str">
            <v>Inventory</v>
          </cell>
        </row>
        <row r="908">
          <cell r="D908" t="str">
            <v>140-03197</v>
          </cell>
          <cell r="F908" t="str">
            <v>Inventory</v>
          </cell>
        </row>
        <row r="909">
          <cell r="D909" t="str">
            <v>140-03197</v>
          </cell>
          <cell r="F909" t="str">
            <v>Inventory</v>
          </cell>
        </row>
        <row r="910">
          <cell r="D910" t="str">
            <v>140-03197</v>
          </cell>
          <cell r="F910" t="str">
            <v>Inventory</v>
          </cell>
        </row>
        <row r="911">
          <cell r="D911" t="str">
            <v>140-03197</v>
          </cell>
          <cell r="F911" t="str">
            <v>Inventory</v>
          </cell>
        </row>
        <row r="912">
          <cell r="D912" t="str">
            <v>140-03197</v>
          </cell>
          <cell r="F912" t="str">
            <v>Inventory</v>
          </cell>
        </row>
        <row r="913">
          <cell r="D913" t="str">
            <v>140-03197</v>
          </cell>
          <cell r="F913" t="str">
            <v>Inventory</v>
          </cell>
        </row>
        <row r="914">
          <cell r="D914" t="str">
            <v>140-03197</v>
          </cell>
          <cell r="F914" t="str">
            <v>Inventory</v>
          </cell>
        </row>
        <row r="915">
          <cell r="D915" t="str">
            <v>140-03197</v>
          </cell>
          <cell r="F915" t="str">
            <v>Inventory</v>
          </cell>
        </row>
        <row r="916">
          <cell r="D916" t="str">
            <v>140-03197</v>
          </cell>
          <cell r="F916" t="str">
            <v>Inventory</v>
          </cell>
        </row>
        <row r="917">
          <cell r="D917" t="str">
            <v>140-03197</v>
          </cell>
          <cell r="F917" t="str">
            <v>Inventory</v>
          </cell>
        </row>
        <row r="918">
          <cell r="D918" t="str">
            <v>130-00956</v>
          </cell>
          <cell r="F918" t="str">
            <v>Inventory</v>
          </cell>
        </row>
        <row r="919">
          <cell r="D919" t="str">
            <v>130-00956</v>
          </cell>
          <cell r="F919" t="str">
            <v>Inventory</v>
          </cell>
        </row>
        <row r="920">
          <cell r="D920" t="str">
            <v>130-01470</v>
          </cell>
          <cell r="F920" t="str">
            <v>Inventory</v>
          </cell>
        </row>
        <row r="921">
          <cell r="D921" t="str">
            <v>130-01470</v>
          </cell>
          <cell r="F921" t="str">
            <v>Inventory</v>
          </cell>
        </row>
        <row r="922">
          <cell r="D922" t="str">
            <v>130-01805</v>
          </cell>
          <cell r="F922" t="str">
            <v>Inventory</v>
          </cell>
        </row>
        <row r="923">
          <cell r="D923" t="str">
            <v>130-01805</v>
          </cell>
          <cell r="F923" t="str">
            <v>Inventory</v>
          </cell>
        </row>
        <row r="924">
          <cell r="D924" t="str">
            <v>130-01805</v>
          </cell>
          <cell r="F924" t="str">
            <v>Inventory</v>
          </cell>
        </row>
        <row r="925">
          <cell r="D925" t="str">
            <v>130-01805</v>
          </cell>
          <cell r="F925" t="str">
            <v>Inventory</v>
          </cell>
        </row>
        <row r="926">
          <cell r="D926" t="str">
            <v>130-01805</v>
          </cell>
          <cell r="F926" t="str">
            <v>Inventory</v>
          </cell>
        </row>
        <row r="927">
          <cell r="D927" t="str">
            <v>130-01805</v>
          </cell>
          <cell r="F927" t="str">
            <v>Inventory</v>
          </cell>
        </row>
        <row r="928">
          <cell r="D928" t="str">
            <v>160-01134</v>
          </cell>
          <cell r="F928" t="str">
            <v>Inventory</v>
          </cell>
        </row>
        <row r="929">
          <cell r="D929" t="str">
            <v>160-01134</v>
          </cell>
          <cell r="F929" t="str">
            <v>Inventory</v>
          </cell>
        </row>
        <row r="930">
          <cell r="D930" t="str">
            <v>160-01134</v>
          </cell>
          <cell r="F930" t="str">
            <v>Inventory</v>
          </cell>
        </row>
        <row r="931">
          <cell r="D931" t="str">
            <v>160-01134</v>
          </cell>
          <cell r="F931" t="str">
            <v>Inventory</v>
          </cell>
        </row>
        <row r="932">
          <cell r="D932" t="str">
            <v>160-01134</v>
          </cell>
          <cell r="F932" t="str">
            <v>New Shipment</v>
          </cell>
        </row>
        <row r="933">
          <cell r="D933" t="str">
            <v>160-01134</v>
          </cell>
          <cell r="F933" t="str">
            <v>New Shipment</v>
          </cell>
        </row>
        <row r="934">
          <cell r="D934" t="str">
            <v>160-01134</v>
          </cell>
          <cell r="F934" t="str">
            <v>New Shipment</v>
          </cell>
        </row>
        <row r="935">
          <cell r="D935" t="str">
            <v>160-01134</v>
          </cell>
          <cell r="F935" t="str">
            <v>New Shipment</v>
          </cell>
        </row>
        <row r="936">
          <cell r="D936" t="str">
            <v>160-01134</v>
          </cell>
          <cell r="F936" t="str">
            <v>New Shipment</v>
          </cell>
        </row>
        <row r="937">
          <cell r="D937" t="str">
            <v>130-01526</v>
          </cell>
          <cell r="F937" t="str">
            <v>Inventory</v>
          </cell>
        </row>
        <row r="938">
          <cell r="D938" t="str">
            <v>130-01526</v>
          </cell>
          <cell r="F938" t="str">
            <v>Inventory</v>
          </cell>
        </row>
        <row r="939">
          <cell r="D939" t="str">
            <v>130-01526</v>
          </cell>
          <cell r="F939" t="str">
            <v>Inventory</v>
          </cell>
        </row>
        <row r="940">
          <cell r="D940" t="str">
            <v>130-01526</v>
          </cell>
          <cell r="F940" t="str">
            <v>Inventory</v>
          </cell>
        </row>
        <row r="941">
          <cell r="D941" t="str">
            <v>130-01526</v>
          </cell>
          <cell r="F941" t="str">
            <v>Inventory</v>
          </cell>
        </row>
        <row r="942">
          <cell r="D942" t="str">
            <v>130-01526</v>
          </cell>
          <cell r="F942" t="str">
            <v>Inventory</v>
          </cell>
        </row>
        <row r="943">
          <cell r="D943" t="str">
            <v>130-01526</v>
          </cell>
          <cell r="F943" t="str">
            <v>Inventory</v>
          </cell>
        </row>
        <row r="944">
          <cell r="D944" t="str">
            <v>130-01526</v>
          </cell>
          <cell r="F944" t="str">
            <v>Inventory</v>
          </cell>
        </row>
        <row r="945">
          <cell r="D945" t="str">
            <v>130-01526</v>
          </cell>
          <cell r="F945" t="str">
            <v>Inventory</v>
          </cell>
        </row>
        <row r="946">
          <cell r="D946" t="str">
            <v>130-01526</v>
          </cell>
          <cell r="F946" t="str">
            <v>Inventory</v>
          </cell>
        </row>
        <row r="947">
          <cell r="D947" t="str">
            <v>130-01526</v>
          </cell>
          <cell r="F947" t="str">
            <v>Inventory</v>
          </cell>
        </row>
        <row r="948">
          <cell r="D948" t="str">
            <v>130-01526</v>
          </cell>
          <cell r="F948" t="str">
            <v>Inventory</v>
          </cell>
        </row>
        <row r="949">
          <cell r="D949" t="str">
            <v>130-01526</v>
          </cell>
          <cell r="F949" t="str">
            <v>Inventory</v>
          </cell>
        </row>
        <row r="950">
          <cell r="D950" t="str">
            <v>130-01526</v>
          </cell>
          <cell r="F950" t="str">
            <v>Inventory</v>
          </cell>
        </row>
        <row r="951">
          <cell r="D951" t="str">
            <v>130-01526</v>
          </cell>
          <cell r="F951" t="str">
            <v>Inventory</v>
          </cell>
        </row>
        <row r="952">
          <cell r="D952" t="str">
            <v>130-01526</v>
          </cell>
          <cell r="F952" t="str">
            <v>Inventory</v>
          </cell>
        </row>
        <row r="953">
          <cell r="D953" t="str">
            <v>130-01526</v>
          </cell>
          <cell r="F953" t="str">
            <v>Inventory</v>
          </cell>
        </row>
        <row r="954">
          <cell r="D954" t="str">
            <v>130-01526</v>
          </cell>
          <cell r="F954" t="str">
            <v>Inventory</v>
          </cell>
        </row>
        <row r="955">
          <cell r="D955" t="str">
            <v>130-01526</v>
          </cell>
          <cell r="F955" t="str">
            <v>Inventory</v>
          </cell>
        </row>
        <row r="956">
          <cell r="D956" t="str">
            <v>130-01526</v>
          </cell>
          <cell r="F956" t="str">
            <v>Inventory</v>
          </cell>
        </row>
        <row r="957">
          <cell r="D957" t="str">
            <v>130-01526</v>
          </cell>
          <cell r="F957" t="str">
            <v>Inventory</v>
          </cell>
        </row>
        <row r="958">
          <cell r="D958" t="str">
            <v>130-01526</v>
          </cell>
          <cell r="F958" t="str">
            <v>Inventory</v>
          </cell>
        </row>
        <row r="959">
          <cell r="D959" t="str">
            <v>130-01526</v>
          </cell>
          <cell r="F959" t="str">
            <v>Inventory</v>
          </cell>
        </row>
        <row r="960">
          <cell r="D960" t="str">
            <v>130-01526</v>
          </cell>
          <cell r="F960" t="str">
            <v>Inventory</v>
          </cell>
        </row>
        <row r="961">
          <cell r="D961" t="str">
            <v>130-01526</v>
          </cell>
          <cell r="F961" t="str">
            <v>Inventory</v>
          </cell>
        </row>
        <row r="962">
          <cell r="D962" t="str">
            <v>130-01526</v>
          </cell>
          <cell r="F962" t="str">
            <v>Inventory</v>
          </cell>
        </row>
        <row r="963">
          <cell r="D963" t="str">
            <v>130-01526</v>
          </cell>
          <cell r="F963" t="str">
            <v>Inventory</v>
          </cell>
        </row>
        <row r="964">
          <cell r="D964" t="str">
            <v>130-01526</v>
          </cell>
          <cell r="F964" t="str">
            <v>Inventory</v>
          </cell>
        </row>
        <row r="965">
          <cell r="D965" t="str">
            <v>130-01526</v>
          </cell>
          <cell r="F965" t="str">
            <v>Inventory</v>
          </cell>
        </row>
        <row r="966">
          <cell r="D966" t="str">
            <v>130-01526</v>
          </cell>
          <cell r="F966" t="str">
            <v>Inventory</v>
          </cell>
        </row>
        <row r="967">
          <cell r="D967" t="str">
            <v>130-01526</v>
          </cell>
          <cell r="F967" t="str">
            <v>Inventory</v>
          </cell>
        </row>
        <row r="968">
          <cell r="D968" t="str">
            <v>130-01526</v>
          </cell>
          <cell r="F968" t="str">
            <v>Inventory</v>
          </cell>
        </row>
        <row r="969">
          <cell r="D969" t="str">
            <v>130-01526</v>
          </cell>
          <cell r="F969" t="str">
            <v>Inventory</v>
          </cell>
        </row>
        <row r="970">
          <cell r="D970" t="str">
            <v>130-01526</v>
          </cell>
          <cell r="F970" t="str">
            <v>Inventory</v>
          </cell>
        </row>
        <row r="971">
          <cell r="D971" t="str">
            <v>130-01526</v>
          </cell>
          <cell r="F971" t="str">
            <v>Inventory</v>
          </cell>
        </row>
        <row r="972">
          <cell r="D972" t="str">
            <v>130-01526</v>
          </cell>
          <cell r="F972" t="str">
            <v>Inventory</v>
          </cell>
        </row>
        <row r="973">
          <cell r="D973" t="str">
            <v>130-01526</v>
          </cell>
          <cell r="F973" t="str">
            <v>Inventory</v>
          </cell>
        </row>
        <row r="974">
          <cell r="D974" t="str">
            <v>130-01526</v>
          </cell>
          <cell r="F974" t="str">
            <v>Inventory</v>
          </cell>
        </row>
        <row r="975">
          <cell r="D975" t="str">
            <v>130-01526</v>
          </cell>
          <cell r="F975" t="str">
            <v>Inventory</v>
          </cell>
        </row>
        <row r="976">
          <cell r="D976" t="str">
            <v>130-01526</v>
          </cell>
          <cell r="F976" t="str">
            <v>Inventory</v>
          </cell>
        </row>
        <row r="977">
          <cell r="D977" t="str">
            <v>130-01526</v>
          </cell>
          <cell r="F977" t="str">
            <v>Inventory</v>
          </cell>
        </row>
        <row r="978">
          <cell r="D978" t="str">
            <v>130-01526</v>
          </cell>
          <cell r="F978" t="str">
            <v>Inventory</v>
          </cell>
        </row>
        <row r="979">
          <cell r="D979" t="str">
            <v>130-01526</v>
          </cell>
          <cell r="F979" t="str">
            <v>Inventory</v>
          </cell>
        </row>
        <row r="980">
          <cell r="D980" t="str">
            <v>130-01526</v>
          </cell>
          <cell r="F980" t="str">
            <v>Inventory</v>
          </cell>
        </row>
        <row r="981">
          <cell r="D981" t="str">
            <v>130-01526</v>
          </cell>
          <cell r="F981" t="str">
            <v>Inventory</v>
          </cell>
        </row>
        <row r="982">
          <cell r="D982" t="str">
            <v>130-01526</v>
          </cell>
          <cell r="F982" t="str">
            <v>Inventory</v>
          </cell>
        </row>
        <row r="983">
          <cell r="D983" t="str">
            <v>130-01526</v>
          </cell>
          <cell r="F983" t="str">
            <v>Inventory</v>
          </cell>
        </row>
        <row r="984">
          <cell r="D984" t="str">
            <v>130-01526</v>
          </cell>
          <cell r="F984" t="str">
            <v>Inventory</v>
          </cell>
        </row>
        <row r="985">
          <cell r="D985" t="str">
            <v>130-01526</v>
          </cell>
          <cell r="F985" t="str">
            <v>Inventory</v>
          </cell>
        </row>
        <row r="986">
          <cell r="D986" t="str">
            <v>130-01526</v>
          </cell>
          <cell r="F986" t="str">
            <v>Inventory</v>
          </cell>
        </row>
        <row r="987">
          <cell r="D987" t="str">
            <v>130-01526</v>
          </cell>
          <cell r="F987" t="str">
            <v>Inventory</v>
          </cell>
        </row>
        <row r="988">
          <cell r="D988" t="str">
            <v>130-01526</v>
          </cell>
          <cell r="F988" t="str">
            <v>Inventory</v>
          </cell>
        </row>
        <row r="989">
          <cell r="D989" t="str">
            <v>130-01526</v>
          </cell>
          <cell r="F989" t="str">
            <v>Inventory</v>
          </cell>
        </row>
        <row r="990">
          <cell r="D990" t="str">
            <v>130-01526</v>
          </cell>
          <cell r="F990" t="str">
            <v>Inventory</v>
          </cell>
        </row>
        <row r="991">
          <cell r="D991" t="str">
            <v>130-01526</v>
          </cell>
          <cell r="F991" t="str">
            <v>Inventory</v>
          </cell>
        </row>
        <row r="992">
          <cell r="D992" t="str">
            <v>130-01526</v>
          </cell>
          <cell r="F992" t="str">
            <v>Inventory</v>
          </cell>
        </row>
        <row r="993">
          <cell r="D993" t="str">
            <v>130-01526</v>
          </cell>
          <cell r="F993" t="str">
            <v>Inventory</v>
          </cell>
        </row>
        <row r="994">
          <cell r="D994" t="str">
            <v>130-01526</v>
          </cell>
          <cell r="F994" t="str">
            <v>Inventory</v>
          </cell>
        </row>
        <row r="995">
          <cell r="D995" t="str">
            <v>130-01526</v>
          </cell>
          <cell r="F995" t="str">
            <v>Inventory</v>
          </cell>
        </row>
        <row r="996">
          <cell r="D996" t="str">
            <v>130-01526</v>
          </cell>
          <cell r="F996" t="str">
            <v>Inventory</v>
          </cell>
        </row>
        <row r="997">
          <cell r="D997" t="str">
            <v>130-01526</v>
          </cell>
          <cell r="F997" t="str">
            <v>Inventory</v>
          </cell>
        </row>
        <row r="998">
          <cell r="D998" t="str">
            <v>130-01526</v>
          </cell>
          <cell r="F998" t="str">
            <v>Inventory</v>
          </cell>
        </row>
        <row r="999">
          <cell r="D999" t="str">
            <v>130-01526</v>
          </cell>
          <cell r="F999" t="str">
            <v>Inventory</v>
          </cell>
        </row>
        <row r="1000">
          <cell r="D1000" t="str">
            <v>130-01526</v>
          </cell>
          <cell r="F1000" t="str">
            <v>Inventory</v>
          </cell>
        </row>
        <row r="1001">
          <cell r="D1001" t="str">
            <v>130-01526</v>
          </cell>
          <cell r="F1001" t="str">
            <v>Inventory</v>
          </cell>
        </row>
        <row r="1002">
          <cell r="D1002" t="str">
            <v>130-01526</v>
          </cell>
          <cell r="F1002" t="str">
            <v>Inventory</v>
          </cell>
        </row>
        <row r="1003">
          <cell r="D1003" t="str">
            <v>130-01526</v>
          </cell>
          <cell r="F1003" t="str">
            <v>Inventory</v>
          </cell>
        </row>
        <row r="1004">
          <cell r="D1004" t="str">
            <v>130-01526</v>
          </cell>
          <cell r="F1004" t="str">
            <v>Inventory</v>
          </cell>
        </row>
        <row r="1005">
          <cell r="D1005" t="str">
            <v>130-01526</v>
          </cell>
          <cell r="F1005" t="str">
            <v>Inventory</v>
          </cell>
        </row>
        <row r="1006">
          <cell r="D1006" t="str">
            <v>130-01526</v>
          </cell>
          <cell r="F1006" t="str">
            <v>Inventory</v>
          </cell>
        </row>
        <row r="1007">
          <cell r="D1007" t="str">
            <v>130-01526</v>
          </cell>
          <cell r="F1007" t="str">
            <v>Inventory</v>
          </cell>
        </row>
        <row r="1008">
          <cell r="D1008" t="str">
            <v>130-01526</v>
          </cell>
          <cell r="F1008" t="str">
            <v>Inventory</v>
          </cell>
        </row>
        <row r="1009">
          <cell r="D1009" t="str">
            <v>130-01526</v>
          </cell>
          <cell r="F1009" t="str">
            <v>Inventory</v>
          </cell>
        </row>
        <row r="1010">
          <cell r="D1010" t="str">
            <v>130-01526</v>
          </cell>
          <cell r="F1010" t="str">
            <v>Inventory</v>
          </cell>
        </row>
        <row r="1011">
          <cell r="D1011" t="str">
            <v>130-01526</v>
          </cell>
          <cell r="F1011" t="str">
            <v>Inventory</v>
          </cell>
        </row>
        <row r="1012">
          <cell r="D1012" t="str">
            <v>130-01526</v>
          </cell>
          <cell r="F1012" t="str">
            <v>Inventory</v>
          </cell>
        </row>
        <row r="1013">
          <cell r="D1013" t="str">
            <v>130-01526</v>
          </cell>
          <cell r="F1013" t="str">
            <v>Inventory</v>
          </cell>
        </row>
        <row r="1014">
          <cell r="D1014" t="str">
            <v>130-01526</v>
          </cell>
          <cell r="F1014" t="str">
            <v>Inventory</v>
          </cell>
        </row>
        <row r="1015">
          <cell r="D1015" t="str">
            <v>130-01526</v>
          </cell>
          <cell r="F1015" t="str">
            <v>Inventory</v>
          </cell>
        </row>
        <row r="1016">
          <cell r="D1016" t="str">
            <v>130-01526</v>
          </cell>
          <cell r="F1016" t="str">
            <v>Inventory</v>
          </cell>
        </row>
        <row r="1017">
          <cell r="D1017" t="str">
            <v>130-01526</v>
          </cell>
          <cell r="F1017" t="str">
            <v>New Shipment</v>
          </cell>
        </row>
        <row r="1018">
          <cell r="D1018" t="str">
            <v>130-01526</v>
          </cell>
          <cell r="F1018" t="str">
            <v>New Shipment</v>
          </cell>
        </row>
        <row r="1019">
          <cell r="D1019" t="str">
            <v>130-01526</v>
          </cell>
          <cell r="F1019" t="str">
            <v>New Shipment</v>
          </cell>
        </row>
        <row r="1020">
          <cell r="D1020" t="str">
            <v>130-01526</v>
          </cell>
          <cell r="F1020" t="str">
            <v>New Shipment</v>
          </cell>
        </row>
        <row r="1021">
          <cell r="D1021" t="str">
            <v>130-01526</v>
          </cell>
          <cell r="F1021" t="str">
            <v>New Shipment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H30"/>
  <sheetViews>
    <sheetView tabSelected="1" workbookViewId="0">
      <selection activeCell="I11" sqref="I11"/>
    </sheetView>
  </sheetViews>
  <sheetFormatPr defaultRowHeight="15" x14ac:dyDescent="0.25"/>
  <cols>
    <col min="1" max="1" width="9.7109375" style="6" bestFit="1" customWidth="1"/>
    <col min="2" max="2" width="40.42578125" bestFit="1" customWidth="1"/>
    <col min="3" max="3" width="29.85546875" bestFit="1" customWidth="1"/>
    <col min="4" max="4" width="10.7109375" bestFit="1" customWidth="1"/>
    <col min="5" max="5" width="18.7109375" bestFit="1" customWidth="1"/>
    <col min="6" max="6" width="21.7109375" bestFit="1" customWidth="1"/>
    <col min="7" max="7" width="16.5703125" bestFit="1" customWidth="1"/>
    <col min="8" max="8" width="9.42578125" bestFit="1" customWidth="1"/>
    <col min="17" max="17" width="9.7109375" bestFit="1" customWidth="1"/>
  </cols>
  <sheetData>
    <row r="1" spans="1:60" ht="15.75" thickBot="1" x14ac:dyDescent="0.3">
      <c r="F1" s="5" t="s">
        <v>7</v>
      </c>
      <c r="G1" s="5" t="s">
        <v>8</v>
      </c>
      <c r="H1" s="5">
        <v>2017</v>
      </c>
      <c r="I1" s="5">
        <v>2018</v>
      </c>
      <c r="J1" s="5">
        <v>2019</v>
      </c>
      <c r="K1" s="5">
        <v>2020</v>
      </c>
      <c r="L1" s="5">
        <v>2021</v>
      </c>
      <c r="M1" s="5">
        <v>2022</v>
      </c>
      <c r="N1" s="5">
        <v>2023</v>
      </c>
      <c r="O1" s="5">
        <v>2024</v>
      </c>
      <c r="P1" s="5">
        <v>2025</v>
      </c>
      <c r="Q1" s="5">
        <v>2026</v>
      </c>
      <c r="R1" s="5">
        <v>2027</v>
      </c>
      <c r="S1" s="5">
        <v>2028</v>
      </c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</row>
    <row r="2" spans="1:60" x14ac:dyDescent="0.25">
      <c r="A2" s="82" t="s">
        <v>5</v>
      </c>
      <c r="B2" s="46" t="s">
        <v>4</v>
      </c>
      <c r="C2" s="35">
        <v>2017</v>
      </c>
      <c r="D2" s="3"/>
      <c r="F2" s="5" t="s">
        <v>12</v>
      </c>
      <c r="G2" s="5" t="s">
        <v>13</v>
      </c>
      <c r="H2" s="5">
        <v>1</v>
      </c>
      <c r="I2" s="5">
        <v>2</v>
      </c>
      <c r="J2" s="5">
        <v>3</v>
      </c>
      <c r="K2" s="5">
        <v>4</v>
      </c>
      <c r="L2" s="5">
        <v>5</v>
      </c>
      <c r="M2" s="5">
        <v>6</v>
      </c>
      <c r="N2" s="5">
        <v>7</v>
      </c>
      <c r="O2" s="5">
        <v>8</v>
      </c>
      <c r="P2" s="5">
        <v>9</v>
      </c>
      <c r="Q2" s="5">
        <v>10</v>
      </c>
      <c r="R2" s="5">
        <v>11</v>
      </c>
      <c r="S2" s="5">
        <v>12</v>
      </c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</row>
    <row r="3" spans="1:60" x14ac:dyDescent="0.25">
      <c r="A3" s="83"/>
      <c r="B3" s="47" t="s">
        <v>3</v>
      </c>
      <c r="C3" s="36">
        <v>31</v>
      </c>
      <c r="D3" s="3"/>
      <c r="G3" s="5"/>
      <c r="H3" s="5">
        <v>1</v>
      </c>
      <c r="I3" s="5">
        <v>2</v>
      </c>
      <c r="J3" s="5">
        <v>3</v>
      </c>
      <c r="K3" s="5">
        <v>4</v>
      </c>
      <c r="L3" s="5">
        <v>5</v>
      </c>
      <c r="M3" s="5">
        <v>6</v>
      </c>
      <c r="N3" s="5">
        <v>7</v>
      </c>
      <c r="O3" s="5">
        <v>8</v>
      </c>
      <c r="P3" s="5">
        <v>9</v>
      </c>
      <c r="Q3" s="5">
        <v>10</v>
      </c>
      <c r="R3" s="5">
        <v>11</v>
      </c>
      <c r="S3" s="5">
        <v>12</v>
      </c>
      <c r="T3" s="5">
        <v>13</v>
      </c>
      <c r="U3" s="5">
        <v>14</v>
      </c>
      <c r="V3" s="5">
        <v>15</v>
      </c>
      <c r="W3" s="5">
        <v>16</v>
      </c>
      <c r="X3" s="5">
        <v>17</v>
      </c>
      <c r="Y3" s="5">
        <v>18</v>
      </c>
      <c r="Z3" s="5">
        <v>19</v>
      </c>
      <c r="AA3" s="5">
        <v>20</v>
      </c>
      <c r="AB3" s="5">
        <v>21</v>
      </c>
      <c r="AC3" s="5">
        <v>22</v>
      </c>
      <c r="AD3" s="5">
        <v>23</v>
      </c>
      <c r="AE3" s="5">
        <v>24</v>
      </c>
      <c r="AF3" s="5">
        <v>25</v>
      </c>
      <c r="AG3" s="5">
        <v>26</v>
      </c>
      <c r="AH3" s="5">
        <v>27</v>
      </c>
      <c r="AI3" s="5">
        <v>28</v>
      </c>
      <c r="AJ3" s="5">
        <v>29</v>
      </c>
      <c r="AK3" s="5">
        <v>30</v>
      </c>
      <c r="AL3" s="5">
        <v>31</v>
      </c>
      <c r="AM3" s="5">
        <v>32</v>
      </c>
      <c r="AN3" s="5">
        <v>33</v>
      </c>
      <c r="AO3" s="5">
        <v>34</v>
      </c>
      <c r="AP3" s="5">
        <v>35</v>
      </c>
      <c r="AQ3" s="5">
        <v>36</v>
      </c>
      <c r="AR3" s="5">
        <v>37</v>
      </c>
      <c r="AS3" s="5">
        <v>38</v>
      </c>
      <c r="AT3" s="5">
        <v>39</v>
      </c>
      <c r="AU3" s="5">
        <v>40</v>
      </c>
      <c r="AV3" s="5">
        <v>41</v>
      </c>
      <c r="AW3" s="5">
        <v>42</v>
      </c>
      <c r="AX3" s="5">
        <v>43</v>
      </c>
      <c r="AY3" s="5">
        <v>44</v>
      </c>
      <c r="AZ3" s="5">
        <v>45</v>
      </c>
      <c r="BA3" s="5">
        <v>46</v>
      </c>
      <c r="BB3" s="5">
        <v>47</v>
      </c>
      <c r="BC3" s="5">
        <v>48</v>
      </c>
      <c r="BD3" s="5">
        <v>49</v>
      </c>
      <c r="BE3" s="5">
        <v>50</v>
      </c>
      <c r="BF3" s="5">
        <v>51</v>
      </c>
      <c r="BG3" s="5">
        <v>52</v>
      </c>
    </row>
    <row r="4" spans="1:60" ht="15.75" thickBot="1" x14ac:dyDescent="0.3">
      <c r="A4" s="83"/>
      <c r="B4" s="47" t="s">
        <v>6</v>
      </c>
      <c r="C4" s="37" t="s">
        <v>7</v>
      </c>
      <c r="D4" s="3"/>
      <c r="G4" s="5"/>
      <c r="H4" s="5">
        <f>ROUND(H5,0)</f>
        <v>23</v>
      </c>
      <c r="I4" s="5">
        <f>CEILING(SUM($H$5:I5),1)-CEILING(SUM($H$5:H5),1)</f>
        <v>22</v>
      </c>
      <c r="J4" s="5">
        <f>CEILING(SUM($H$5:J5),1)-CEILING(SUM($H$5:I5),1)</f>
        <v>24</v>
      </c>
      <c r="K4" s="5">
        <f>CEILING(SUM($H$5:K5),1)-CEILING(SUM($H$5:J5),1)</f>
        <v>23</v>
      </c>
      <c r="L4" s="5">
        <f>CEILING(SUM($H$5:L5),1)-CEILING(SUM($H$5:K5),1)</f>
        <v>23</v>
      </c>
      <c r="M4" s="5">
        <f>CEILING(SUM($H$5:M5),1)-CEILING(SUM($H$5:L5),1)</f>
        <v>23</v>
      </c>
      <c r="N4" s="5">
        <f>CEILING(SUM($H$5:N5),1)-CEILING(SUM($H$5:M5),1)</f>
        <v>23</v>
      </c>
      <c r="O4" s="5">
        <f>CEILING(SUM($H$5:O5),1)-CEILING(SUM($H$5:N5),1)</f>
        <v>22</v>
      </c>
      <c r="P4" s="5">
        <f>CEILING(SUM($H$5:P5),1)-CEILING(SUM($H$5:O5),1)</f>
        <v>22</v>
      </c>
      <c r="Q4" s="5">
        <f>CEILING(SUM($H$5:Q5),1)-CEILING(SUM($H$5:P5),1)</f>
        <v>23</v>
      </c>
      <c r="R4" s="5">
        <f>CEILING(SUM($H$5:R5),1)-CEILING(SUM($H$5:Q5),1)</f>
        <v>20</v>
      </c>
      <c r="S4" s="5">
        <f>CEILING(SUM($H$5:S5),1)-CEILING(SUM($H$5:R5),1)</f>
        <v>20</v>
      </c>
      <c r="T4" s="5">
        <f>CEILING(SUM($H$5:T5),1)-CEILING(SUM($H$5:S5),1)</f>
        <v>20</v>
      </c>
      <c r="U4" s="5">
        <f>CEILING(SUM($H$5:U5),1)-CEILING(SUM($H$5:T5),1)</f>
        <v>21</v>
      </c>
      <c r="V4" s="5">
        <f>CEILING(SUM($H$5:V5),1)-CEILING(SUM($H$5:U5),1)</f>
        <v>20</v>
      </c>
      <c r="W4" s="5">
        <f>CEILING(SUM($H$5:W5),1)-CEILING(SUM($H$5:V5),1)</f>
        <v>20</v>
      </c>
      <c r="X4" s="5">
        <f>CEILING(SUM($H$5:X5),1)-CEILING(SUM($H$5:W5),1)</f>
        <v>21</v>
      </c>
      <c r="Y4" s="5">
        <f>CEILING(SUM($H$5:Y5),1)-CEILING(SUM($H$5:X5),1)</f>
        <v>19</v>
      </c>
      <c r="Z4" s="5">
        <f>CEILING(SUM($H$5:Z5),1)-CEILING(SUM($H$5:Y5),1)</f>
        <v>21</v>
      </c>
      <c r="AA4" s="5">
        <f>CEILING(SUM($H$5:AA5),1)-CEILING(SUM($H$5:Z5),1)</f>
        <v>22</v>
      </c>
      <c r="AB4" s="5">
        <f>CEILING(SUM($H$5:AB5),1)-CEILING(SUM($H$5:AA5),1)</f>
        <v>22</v>
      </c>
      <c r="AC4" s="5">
        <f>CEILING(SUM($H$5:AC5),1)-CEILING(SUM($H$5:AB5),1)</f>
        <v>22</v>
      </c>
      <c r="AD4" s="5">
        <f>CEILING(SUM($H$5:AD5),1)-CEILING(SUM($H$5:AC5),1)</f>
        <v>21</v>
      </c>
      <c r="AE4" s="5">
        <f>CEILING(SUM($H$5:AE5),1)-CEILING(SUM($H$5:AD5),1)</f>
        <v>20</v>
      </c>
      <c r="AF4" s="5">
        <f>CEILING(SUM($H$5:AF5),1)-CEILING(SUM($H$5:AE5),1)</f>
        <v>22</v>
      </c>
      <c r="AG4" s="5">
        <f>CEILING(SUM($H$5:AG5),1)-CEILING(SUM($H$5:AF5),1)</f>
        <v>22</v>
      </c>
      <c r="AH4" s="5">
        <f>CEILING(SUM($H$5:AH5),1)-CEILING(SUM($H$5:AG5),1)</f>
        <v>22</v>
      </c>
      <c r="AI4" s="5">
        <f>CEILING(SUM($H$5:AI5),1)-CEILING(SUM($H$5:AH5),1)</f>
        <v>23</v>
      </c>
      <c r="AJ4" s="5">
        <f>CEILING(SUM($H$5:AJ5),1)-CEILING(SUM($H$5:AI5),1)</f>
        <v>23</v>
      </c>
      <c r="AK4" s="5">
        <f>CEILING(SUM($H$5:AK5),1)-CEILING(SUM($H$5:AJ5),1)</f>
        <v>22</v>
      </c>
      <c r="AL4" s="5">
        <f>CEILING(SUM($H$5:AL5),1)-CEILING(SUM($H$5:AK5),1)</f>
        <v>24</v>
      </c>
      <c r="AM4" s="5">
        <f>CEILING(SUM($H$5:AM5),1)-CEILING(SUM($H$5:AL5),1)</f>
        <v>23</v>
      </c>
      <c r="AN4" s="5">
        <f>CEILING(SUM($H$5:AN5),1)-CEILING(SUM($H$5:AM5),1)</f>
        <v>24</v>
      </c>
      <c r="AO4" s="5">
        <f>CEILING(SUM($H$5:AO5),1)-CEILING(SUM($H$5:AN5),1)</f>
        <v>23</v>
      </c>
      <c r="AP4" s="5">
        <f>CEILING(SUM($H$5:AP5),1)-CEILING(SUM($H$5:AO5),1)</f>
        <v>24</v>
      </c>
      <c r="AQ4" s="5">
        <f>CEILING(SUM($H$5:AQ5),1)-CEILING(SUM($H$5:AP5),1)</f>
        <v>23</v>
      </c>
      <c r="AR4" s="5">
        <f>CEILING(SUM($H$5:AR5),1)-CEILING(SUM($H$5:AQ5),1)</f>
        <v>24</v>
      </c>
      <c r="AS4" s="5">
        <f>CEILING(SUM($H$5:AS5),1)-CEILING(SUM($H$5:AR5),1)</f>
        <v>23</v>
      </c>
      <c r="AT4" s="5">
        <f>CEILING(SUM($H$5:AT5),1)-CEILING(SUM($H$5:AS5),1)</f>
        <v>24</v>
      </c>
      <c r="AU4" s="5">
        <f>CEILING(SUM($H$5:AU5),1)-CEILING(SUM($H$5:AT5),1)</f>
        <v>26</v>
      </c>
      <c r="AV4" s="5">
        <f>CEILING(SUM($H$5:AV5),1)-CEILING(SUM($H$5:AU5),1)</f>
        <v>24</v>
      </c>
      <c r="AW4" s="5">
        <f>CEILING(SUM($H$5:AW5),1)-CEILING(SUM($H$5:AV5),1)</f>
        <v>24</v>
      </c>
      <c r="AX4" s="5">
        <f>CEILING(SUM($H$5:AX5),1)-CEILING(SUM($H$5:AW5),1)</f>
        <v>26</v>
      </c>
      <c r="AY4" s="5">
        <f>CEILING(SUM($H$5:AY5),1)-CEILING(SUM($H$5:AX5),1)</f>
        <v>25</v>
      </c>
      <c r="AZ4" s="5">
        <f>CEILING(SUM($H$5:AZ5),1)-CEILING(SUM($H$5:AY5),1)</f>
        <v>24</v>
      </c>
      <c r="BA4" s="5">
        <f>CEILING(SUM($H$5:BA5),1)-CEILING(SUM($H$5:AZ5),1)</f>
        <v>25</v>
      </c>
      <c r="BB4" s="5">
        <f>CEILING(SUM($H$5:BB5),1)-CEILING(SUM($H$5:BA5),1)</f>
        <v>26</v>
      </c>
      <c r="BC4" s="5">
        <f>CEILING(SUM($H$5:BC5),1)-CEILING(SUM($H$5:BB5),1)</f>
        <v>25</v>
      </c>
      <c r="BD4" s="5">
        <f>CEILING(SUM($H$5:BD5),1)-CEILING(SUM($H$5:BC5),1)</f>
        <v>25</v>
      </c>
      <c r="BE4" s="5">
        <f>CEILING(SUM($H$5:BE5),1)-CEILING(SUM($H$5:BD5),1)</f>
        <v>26</v>
      </c>
      <c r="BF4" s="5">
        <f>CEILING(SUM($H$5:BF5),1)-CEILING(SUM($H$5:BE5),1)</f>
        <v>27</v>
      </c>
      <c r="BG4" s="5">
        <f>CEILING(SUM($H$5:BG5),1)-CEILING(SUM($H$5:BF5),1)</f>
        <v>26</v>
      </c>
      <c r="BH4" s="5">
        <f>CEILING(SUM($H$5:BH5),1)-CEILING(SUM($H$5:BG5),1)</f>
        <v>27</v>
      </c>
    </row>
    <row r="5" spans="1:60" ht="15.75" thickBot="1" x14ac:dyDescent="0.3">
      <c r="A5" s="83"/>
      <c r="B5" s="47" t="s">
        <v>2</v>
      </c>
      <c r="C5" s="26" t="s">
        <v>43</v>
      </c>
      <c r="D5" s="3"/>
      <c r="G5" s="5"/>
      <c r="H5" s="5">
        <f>H9*$C$21</f>
        <v>22.995000000000005</v>
      </c>
      <c r="I5" s="5">
        <f t="shared" ref="I5:BH5" si="0">I9*$C$21</f>
        <v>21.900000000000006</v>
      </c>
      <c r="J5" s="5">
        <f t="shared" si="0"/>
        <v>24.090000000000003</v>
      </c>
      <c r="K5" s="5">
        <f t="shared" si="0"/>
        <v>22.995000000000005</v>
      </c>
      <c r="L5" s="5">
        <f t="shared" si="0"/>
        <v>22.995000000000005</v>
      </c>
      <c r="M5" s="5">
        <f t="shared" si="0"/>
        <v>22.995000000000005</v>
      </c>
      <c r="N5" s="5">
        <f t="shared" si="0"/>
        <v>22.995000000000005</v>
      </c>
      <c r="O5" s="5">
        <f t="shared" si="0"/>
        <v>21.900000000000006</v>
      </c>
      <c r="P5" s="5">
        <f t="shared" si="0"/>
        <v>21.900000000000006</v>
      </c>
      <c r="Q5" s="5">
        <f t="shared" si="0"/>
        <v>22.995000000000005</v>
      </c>
      <c r="R5" s="5">
        <f t="shared" si="0"/>
        <v>19.710000000000004</v>
      </c>
      <c r="S5" s="5">
        <f t="shared" si="0"/>
        <v>19.710000000000004</v>
      </c>
      <c r="T5" s="5">
        <f t="shared" si="0"/>
        <v>20.805000000000003</v>
      </c>
      <c r="U5" s="5">
        <f t="shared" si="0"/>
        <v>20.805000000000003</v>
      </c>
      <c r="V5" s="5">
        <f t="shared" si="0"/>
        <v>19.710000000000004</v>
      </c>
      <c r="W5" s="5">
        <f t="shared" si="0"/>
        <v>19.710000000000004</v>
      </c>
      <c r="X5" s="5">
        <f t="shared" si="0"/>
        <v>20.805000000000003</v>
      </c>
      <c r="Y5" s="5">
        <f t="shared" si="0"/>
        <v>19.710000000000004</v>
      </c>
      <c r="Z5" s="5">
        <f t="shared" si="0"/>
        <v>20.805000000000003</v>
      </c>
      <c r="AA5" s="5">
        <f t="shared" si="0"/>
        <v>21.900000000000006</v>
      </c>
      <c r="AB5" s="5">
        <f t="shared" si="0"/>
        <v>21.900000000000006</v>
      </c>
      <c r="AC5" s="5">
        <f t="shared" si="0"/>
        <v>21.900000000000006</v>
      </c>
      <c r="AD5" s="5">
        <f t="shared" si="0"/>
        <v>20.805000000000003</v>
      </c>
      <c r="AE5" s="5">
        <f t="shared" si="0"/>
        <v>20.805000000000003</v>
      </c>
      <c r="AF5" s="5">
        <f t="shared" si="0"/>
        <v>21.900000000000006</v>
      </c>
      <c r="AG5" s="5">
        <f t="shared" si="0"/>
        <v>21.900000000000006</v>
      </c>
      <c r="AH5" s="5">
        <f t="shared" si="0"/>
        <v>21.900000000000006</v>
      </c>
      <c r="AI5" s="5">
        <f t="shared" si="0"/>
        <v>22.995000000000005</v>
      </c>
      <c r="AJ5" s="5">
        <f t="shared" si="0"/>
        <v>22.995000000000005</v>
      </c>
      <c r="AK5" s="5">
        <f t="shared" si="0"/>
        <v>21.900000000000006</v>
      </c>
      <c r="AL5" s="5">
        <f t="shared" si="0"/>
        <v>24.090000000000003</v>
      </c>
      <c r="AM5" s="5">
        <f t="shared" si="0"/>
        <v>22.995000000000005</v>
      </c>
      <c r="AN5" s="5">
        <f t="shared" si="0"/>
        <v>24.090000000000003</v>
      </c>
      <c r="AO5" s="5">
        <f t="shared" si="0"/>
        <v>22.995000000000005</v>
      </c>
      <c r="AP5" s="5">
        <f t="shared" si="0"/>
        <v>24.090000000000003</v>
      </c>
      <c r="AQ5" s="5">
        <f t="shared" si="0"/>
        <v>22.995000000000005</v>
      </c>
      <c r="AR5" s="5">
        <f t="shared" si="0"/>
        <v>24.090000000000003</v>
      </c>
      <c r="AS5" s="5">
        <f t="shared" si="0"/>
        <v>22.995000000000005</v>
      </c>
      <c r="AT5" s="5">
        <f t="shared" si="0"/>
        <v>24.090000000000003</v>
      </c>
      <c r="AU5" s="5">
        <f t="shared" si="0"/>
        <v>25.185000000000006</v>
      </c>
      <c r="AV5" s="5">
        <f t="shared" si="0"/>
        <v>24.090000000000003</v>
      </c>
      <c r="AW5" s="5">
        <f t="shared" si="0"/>
        <v>24.090000000000003</v>
      </c>
      <c r="AX5" s="5">
        <f t="shared" si="0"/>
        <v>26.280000000000005</v>
      </c>
      <c r="AY5" s="5">
        <f t="shared" si="0"/>
        <v>25.185000000000006</v>
      </c>
      <c r="AZ5" s="5">
        <f t="shared" si="0"/>
        <v>24.090000000000003</v>
      </c>
      <c r="BA5" s="5">
        <f t="shared" si="0"/>
        <v>25.185000000000006</v>
      </c>
      <c r="BB5" s="5">
        <f t="shared" si="0"/>
        <v>25.185000000000006</v>
      </c>
      <c r="BC5" s="5">
        <f t="shared" si="0"/>
        <v>25.185000000000006</v>
      </c>
      <c r="BD5" s="5">
        <f t="shared" si="0"/>
        <v>25.185000000000006</v>
      </c>
      <c r="BE5" s="5">
        <f t="shared" si="0"/>
        <v>26.280000000000005</v>
      </c>
      <c r="BF5" s="5">
        <f t="shared" si="0"/>
        <v>26.280000000000005</v>
      </c>
      <c r="BG5" s="5">
        <f t="shared" si="0"/>
        <v>26.280000000000005</v>
      </c>
      <c r="BH5" s="5">
        <f t="shared" si="0"/>
        <v>27.375000000000004</v>
      </c>
    </row>
    <row r="6" spans="1:60" ht="15.75" thickBot="1" x14ac:dyDescent="0.3">
      <c r="A6" s="83"/>
      <c r="B6" s="47" t="s">
        <v>11</v>
      </c>
      <c r="C6" s="36" t="s">
        <v>13</v>
      </c>
      <c r="D6" s="3"/>
      <c r="G6" s="5"/>
      <c r="H6" s="5">
        <f>C3</f>
        <v>31</v>
      </c>
      <c r="I6" s="5">
        <f>H6+1</f>
        <v>32</v>
      </c>
      <c r="J6" s="5">
        <f>I6+1</f>
        <v>33</v>
      </c>
      <c r="K6" s="5">
        <f t="shared" ref="K6:BG6" si="1">J6+1</f>
        <v>34</v>
      </c>
      <c r="L6" s="5">
        <f t="shared" si="1"/>
        <v>35</v>
      </c>
      <c r="M6" s="5">
        <f t="shared" si="1"/>
        <v>36</v>
      </c>
      <c r="N6" s="5">
        <f t="shared" si="1"/>
        <v>37</v>
      </c>
      <c r="O6" s="5">
        <f t="shared" si="1"/>
        <v>38</v>
      </c>
      <c r="P6" s="5">
        <f t="shared" si="1"/>
        <v>39</v>
      </c>
      <c r="Q6" s="5">
        <f t="shared" si="1"/>
        <v>40</v>
      </c>
      <c r="R6" s="5">
        <f t="shared" si="1"/>
        <v>41</v>
      </c>
      <c r="S6" s="5">
        <f t="shared" si="1"/>
        <v>42</v>
      </c>
      <c r="T6" s="5">
        <f t="shared" si="1"/>
        <v>43</v>
      </c>
      <c r="U6" s="5">
        <f t="shared" si="1"/>
        <v>44</v>
      </c>
      <c r="V6" s="5">
        <f t="shared" si="1"/>
        <v>45</v>
      </c>
      <c r="W6" s="5">
        <f t="shared" si="1"/>
        <v>46</v>
      </c>
      <c r="X6" s="5">
        <f t="shared" si="1"/>
        <v>47</v>
      </c>
      <c r="Y6" s="5">
        <f t="shared" si="1"/>
        <v>48</v>
      </c>
      <c r="Z6" s="5">
        <f t="shared" si="1"/>
        <v>49</v>
      </c>
      <c r="AA6" s="5">
        <f t="shared" si="1"/>
        <v>50</v>
      </c>
      <c r="AB6" s="5">
        <f t="shared" si="1"/>
        <v>51</v>
      </c>
      <c r="AC6" s="5">
        <f t="shared" si="1"/>
        <v>52</v>
      </c>
      <c r="AD6" s="5">
        <f t="shared" si="1"/>
        <v>53</v>
      </c>
      <c r="AE6" s="5">
        <f t="shared" si="1"/>
        <v>54</v>
      </c>
      <c r="AF6" s="5">
        <f t="shared" si="1"/>
        <v>55</v>
      </c>
      <c r="AG6" s="5">
        <f t="shared" si="1"/>
        <v>56</v>
      </c>
      <c r="AH6" s="5">
        <f t="shared" si="1"/>
        <v>57</v>
      </c>
      <c r="AI6" s="5">
        <f t="shared" si="1"/>
        <v>58</v>
      </c>
      <c r="AJ6" s="5">
        <f t="shared" si="1"/>
        <v>59</v>
      </c>
      <c r="AK6" s="5">
        <f t="shared" si="1"/>
        <v>60</v>
      </c>
      <c r="AL6" s="5">
        <f t="shared" si="1"/>
        <v>61</v>
      </c>
      <c r="AM6" s="5">
        <f t="shared" si="1"/>
        <v>62</v>
      </c>
      <c r="AN6" s="5">
        <f t="shared" si="1"/>
        <v>63</v>
      </c>
      <c r="AO6" s="5">
        <f t="shared" si="1"/>
        <v>64</v>
      </c>
      <c r="AP6" s="5">
        <f t="shared" si="1"/>
        <v>65</v>
      </c>
      <c r="AQ6" s="5">
        <f t="shared" si="1"/>
        <v>66</v>
      </c>
      <c r="AR6" s="5">
        <f t="shared" si="1"/>
        <v>67</v>
      </c>
      <c r="AS6" s="5">
        <f t="shared" si="1"/>
        <v>68</v>
      </c>
      <c r="AT6" s="5">
        <f t="shared" si="1"/>
        <v>69</v>
      </c>
      <c r="AU6" s="5">
        <f t="shared" si="1"/>
        <v>70</v>
      </c>
      <c r="AV6" s="5">
        <f t="shared" si="1"/>
        <v>71</v>
      </c>
      <c r="AW6" s="5">
        <f t="shared" si="1"/>
        <v>72</v>
      </c>
      <c r="AX6" s="5">
        <f t="shared" si="1"/>
        <v>73</v>
      </c>
      <c r="AY6" s="5">
        <f t="shared" si="1"/>
        <v>74</v>
      </c>
      <c r="AZ6" s="5">
        <f t="shared" si="1"/>
        <v>75</v>
      </c>
      <c r="BA6" s="5">
        <f t="shared" si="1"/>
        <v>76</v>
      </c>
      <c r="BB6" s="5">
        <f t="shared" si="1"/>
        <v>77</v>
      </c>
      <c r="BC6" s="5">
        <f t="shared" si="1"/>
        <v>78</v>
      </c>
      <c r="BD6" s="5">
        <f t="shared" si="1"/>
        <v>79</v>
      </c>
      <c r="BE6" s="5">
        <f t="shared" si="1"/>
        <v>80</v>
      </c>
      <c r="BF6" s="5">
        <f t="shared" si="1"/>
        <v>81</v>
      </c>
      <c r="BG6" s="5">
        <f t="shared" si="1"/>
        <v>82</v>
      </c>
    </row>
    <row r="7" spans="1:60" s="1" customFormat="1" x14ac:dyDescent="0.25">
      <c r="A7" s="83"/>
      <c r="B7" s="47" t="s">
        <v>15</v>
      </c>
      <c r="C7" s="38">
        <v>42734</v>
      </c>
      <c r="D7" s="3"/>
      <c r="E7"/>
      <c r="F7"/>
      <c r="H7" s="14">
        <f t="shared" ref="H7:AM7" si="2">$C$7+(H6-1)*7</f>
        <v>42944</v>
      </c>
      <c r="I7" s="15">
        <f t="shared" si="2"/>
        <v>42951</v>
      </c>
      <c r="J7" s="15">
        <f t="shared" si="2"/>
        <v>42958</v>
      </c>
      <c r="K7" s="15">
        <f t="shared" si="2"/>
        <v>42965</v>
      </c>
      <c r="L7" s="15">
        <f t="shared" si="2"/>
        <v>42972</v>
      </c>
      <c r="M7" s="15">
        <f t="shared" si="2"/>
        <v>42979</v>
      </c>
      <c r="N7" s="15">
        <f t="shared" si="2"/>
        <v>42986</v>
      </c>
      <c r="O7" s="15">
        <f t="shared" si="2"/>
        <v>42993</v>
      </c>
      <c r="P7" s="15">
        <f t="shared" si="2"/>
        <v>43000</v>
      </c>
      <c r="Q7" s="15">
        <f t="shared" si="2"/>
        <v>43007</v>
      </c>
      <c r="R7" s="15">
        <f t="shared" si="2"/>
        <v>43014</v>
      </c>
      <c r="S7" s="15">
        <f t="shared" si="2"/>
        <v>43021</v>
      </c>
      <c r="T7" s="15">
        <f t="shared" si="2"/>
        <v>43028</v>
      </c>
      <c r="U7" s="15">
        <f t="shared" si="2"/>
        <v>43035</v>
      </c>
      <c r="V7" s="15">
        <f t="shared" si="2"/>
        <v>43042</v>
      </c>
      <c r="W7" s="15">
        <f t="shared" si="2"/>
        <v>43049</v>
      </c>
      <c r="X7" s="15">
        <f t="shared" si="2"/>
        <v>43056</v>
      </c>
      <c r="Y7" s="15">
        <f t="shared" si="2"/>
        <v>43063</v>
      </c>
      <c r="Z7" s="15">
        <f t="shared" si="2"/>
        <v>43070</v>
      </c>
      <c r="AA7" s="15">
        <f t="shared" si="2"/>
        <v>43077</v>
      </c>
      <c r="AB7" s="15">
        <f t="shared" si="2"/>
        <v>43084</v>
      </c>
      <c r="AC7" s="15">
        <f t="shared" si="2"/>
        <v>43091</v>
      </c>
      <c r="AD7" s="15">
        <f t="shared" si="2"/>
        <v>43098</v>
      </c>
      <c r="AE7" s="15">
        <f t="shared" si="2"/>
        <v>43105</v>
      </c>
      <c r="AF7" s="15">
        <f t="shared" si="2"/>
        <v>43112</v>
      </c>
      <c r="AG7" s="15">
        <f t="shared" si="2"/>
        <v>43119</v>
      </c>
      <c r="AH7" s="15">
        <f t="shared" si="2"/>
        <v>43126</v>
      </c>
      <c r="AI7" s="15">
        <f t="shared" si="2"/>
        <v>43133</v>
      </c>
      <c r="AJ7" s="15">
        <f t="shared" si="2"/>
        <v>43140</v>
      </c>
      <c r="AK7" s="15">
        <f t="shared" si="2"/>
        <v>43147</v>
      </c>
      <c r="AL7" s="15">
        <f t="shared" si="2"/>
        <v>43154</v>
      </c>
      <c r="AM7" s="15">
        <f t="shared" si="2"/>
        <v>43161</v>
      </c>
      <c r="AN7" s="15">
        <f t="shared" ref="AN7:BH7" si="3">$C$7+(AN6-1)*7</f>
        <v>43168</v>
      </c>
      <c r="AO7" s="15">
        <f t="shared" si="3"/>
        <v>43175</v>
      </c>
      <c r="AP7" s="15">
        <f t="shared" si="3"/>
        <v>43182</v>
      </c>
      <c r="AQ7" s="15">
        <f t="shared" si="3"/>
        <v>43189</v>
      </c>
      <c r="AR7" s="15">
        <f t="shared" si="3"/>
        <v>43196</v>
      </c>
      <c r="AS7" s="15">
        <f t="shared" si="3"/>
        <v>43203</v>
      </c>
      <c r="AT7" s="15">
        <f t="shared" si="3"/>
        <v>43210</v>
      </c>
      <c r="AU7" s="15">
        <f t="shared" si="3"/>
        <v>43217</v>
      </c>
      <c r="AV7" s="15">
        <f t="shared" si="3"/>
        <v>43224</v>
      </c>
      <c r="AW7" s="15">
        <f t="shared" si="3"/>
        <v>43231</v>
      </c>
      <c r="AX7" s="15">
        <f t="shared" si="3"/>
        <v>43238</v>
      </c>
      <c r="AY7" s="15">
        <f t="shared" si="3"/>
        <v>43245</v>
      </c>
      <c r="AZ7" s="15">
        <f t="shared" si="3"/>
        <v>43252</v>
      </c>
      <c r="BA7" s="15">
        <f t="shared" si="3"/>
        <v>43259</v>
      </c>
      <c r="BB7" s="15">
        <f t="shared" si="3"/>
        <v>43266</v>
      </c>
      <c r="BC7" s="15">
        <f t="shared" si="3"/>
        <v>43273</v>
      </c>
      <c r="BD7" s="15">
        <f t="shared" si="3"/>
        <v>43280</v>
      </c>
      <c r="BE7" s="15">
        <f t="shared" si="3"/>
        <v>43287</v>
      </c>
      <c r="BF7" s="15">
        <f t="shared" si="3"/>
        <v>43294</v>
      </c>
      <c r="BG7" s="15">
        <f t="shared" si="3"/>
        <v>43301</v>
      </c>
      <c r="BH7" s="16">
        <f t="shared" si="3"/>
        <v>42727</v>
      </c>
    </row>
    <row r="8" spans="1:60" ht="15.75" thickBot="1" x14ac:dyDescent="0.3">
      <c r="A8" s="84"/>
      <c r="B8" s="48" t="s">
        <v>14</v>
      </c>
      <c r="C8" s="39">
        <v>52</v>
      </c>
      <c r="D8" s="3"/>
      <c r="H8" s="17" t="str">
        <f t="shared" ref="H8:AM8" si="4">IF(H6&lt;=$C$8,CONCATENATE("WW",H6),CONCATENATE("WW",H6-$C$8))</f>
        <v>WW31</v>
      </c>
      <c r="I8" s="18" t="str">
        <f t="shared" si="4"/>
        <v>WW32</v>
      </c>
      <c r="J8" s="18" t="str">
        <f t="shared" si="4"/>
        <v>WW33</v>
      </c>
      <c r="K8" s="18" t="str">
        <f t="shared" si="4"/>
        <v>WW34</v>
      </c>
      <c r="L8" s="18" t="str">
        <f t="shared" si="4"/>
        <v>WW35</v>
      </c>
      <c r="M8" s="18" t="str">
        <f t="shared" si="4"/>
        <v>WW36</v>
      </c>
      <c r="N8" s="18" t="str">
        <f t="shared" si="4"/>
        <v>WW37</v>
      </c>
      <c r="O8" s="18" t="str">
        <f t="shared" si="4"/>
        <v>WW38</v>
      </c>
      <c r="P8" s="18" t="str">
        <f t="shared" si="4"/>
        <v>WW39</v>
      </c>
      <c r="Q8" s="18" t="str">
        <f t="shared" si="4"/>
        <v>WW40</v>
      </c>
      <c r="R8" s="18" t="str">
        <f t="shared" si="4"/>
        <v>WW41</v>
      </c>
      <c r="S8" s="18" t="str">
        <f t="shared" si="4"/>
        <v>WW42</v>
      </c>
      <c r="T8" s="18" t="str">
        <f t="shared" si="4"/>
        <v>WW43</v>
      </c>
      <c r="U8" s="18" t="str">
        <f t="shared" si="4"/>
        <v>WW44</v>
      </c>
      <c r="V8" s="18" t="str">
        <f t="shared" si="4"/>
        <v>WW45</v>
      </c>
      <c r="W8" s="18" t="str">
        <f t="shared" si="4"/>
        <v>WW46</v>
      </c>
      <c r="X8" s="18" t="str">
        <f t="shared" si="4"/>
        <v>WW47</v>
      </c>
      <c r="Y8" s="18" t="str">
        <f t="shared" si="4"/>
        <v>WW48</v>
      </c>
      <c r="Z8" s="18" t="str">
        <f t="shared" si="4"/>
        <v>WW49</v>
      </c>
      <c r="AA8" s="18" t="str">
        <f t="shared" si="4"/>
        <v>WW50</v>
      </c>
      <c r="AB8" s="18" t="str">
        <f t="shared" si="4"/>
        <v>WW51</v>
      </c>
      <c r="AC8" s="18" t="str">
        <f t="shared" si="4"/>
        <v>WW52</v>
      </c>
      <c r="AD8" s="18" t="str">
        <f t="shared" si="4"/>
        <v>WW1</v>
      </c>
      <c r="AE8" s="18" t="str">
        <f t="shared" si="4"/>
        <v>WW2</v>
      </c>
      <c r="AF8" s="18" t="str">
        <f t="shared" si="4"/>
        <v>WW3</v>
      </c>
      <c r="AG8" s="18" t="str">
        <f t="shared" si="4"/>
        <v>WW4</v>
      </c>
      <c r="AH8" s="18" t="str">
        <f t="shared" si="4"/>
        <v>WW5</v>
      </c>
      <c r="AI8" s="18" t="str">
        <f t="shared" si="4"/>
        <v>WW6</v>
      </c>
      <c r="AJ8" s="18" t="str">
        <f t="shared" si="4"/>
        <v>WW7</v>
      </c>
      <c r="AK8" s="18" t="str">
        <f t="shared" si="4"/>
        <v>WW8</v>
      </c>
      <c r="AL8" s="18" t="str">
        <f t="shared" si="4"/>
        <v>WW9</v>
      </c>
      <c r="AM8" s="18" t="str">
        <f t="shared" si="4"/>
        <v>WW10</v>
      </c>
      <c r="AN8" s="18" t="str">
        <f t="shared" ref="AN8:BH8" si="5">IF(AN6&lt;=$C$8,CONCATENATE("WW",AN6),CONCATENATE("WW",AN6-$C$8))</f>
        <v>WW11</v>
      </c>
      <c r="AO8" s="18" t="str">
        <f t="shared" si="5"/>
        <v>WW12</v>
      </c>
      <c r="AP8" s="18" t="str">
        <f t="shared" si="5"/>
        <v>WW13</v>
      </c>
      <c r="AQ8" s="18" t="str">
        <f t="shared" si="5"/>
        <v>WW14</v>
      </c>
      <c r="AR8" s="18" t="str">
        <f t="shared" si="5"/>
        <v>WW15</v>
      </c>
      <c r="AS8" s="18" t="str">
        <f t="shared" si="5"/>
        <v>WW16</v>
      </c>
      <c r="AT8" s="18" t="str">
        <f t="shared" si="5"/>
        <v>WW17</v>
      </c>
      <c r="AU8" s="18" t="str">
        <f t="shared" si="5"/>
        <v>WW18</v>
      </c>
      <c r="AV8" s="18" t="str">
        <f t="shared" si="5"/>
        <v>WW19</v>
      </c>
      <c r="AW8" s="18" t="str">
        <f t="shared" si="5"/>
        <v>WW20</v>
      </c>
      <c r="AX8" s="18" t="str">
        <f t="shared" si="5"/>
        <v>WW21</v>
      </c>
      <c r="AY8" s="18" t="str">
        <f t="shared" si="5"/>
        <v>WW22</v>
      </c>
      <c r="AZ8" s="18" t="str">
        <f t="shared" si="5"/>
        <v>WW23</v>
      </c>
      <c r="BA8" s="18" t="str">
        <f t="shared" si="5"/>
        <v>WW24</v>
      </c>
      <c r="BB8" s="18" t="str">
        <f t="shared" si="5"/>
        <v>WW25</v>
      </c>
      <c r="BC8" s="18" t="str">
        <f t="shared" si="5"/>
        <v>WW26</v>
      </c>
      <c r="BD8" s="18" t="str">
        <f t="shared" si="5"/>
        <v>WW27</v>
      </c>
      <c r="BE8" s="18" t="str">
        <f t="shared" si="5"/>
        <v>WW28</v>
      </c>
      <c r="BF8" s="18" t="str">
        <f t="shared" si="5"/>
        <v>WW29</v>
      </c>
      <c r="BG8" s="18" t="str">
        <f t="shared" si="5"/>
        <v>WW30</v>
      </c>
      <c r="BH8" s="19" t="str">
        <f t="shared" si="5"/>
        <v>WW</v>
      </c>
    </row>
    <row r="9" spans="1:60" x14ac:dyDescent="0.25">
      <c r="A9" s="85" t="s">
        <v>40</v>
      </c>
      <c r="B9" s="49" t="s">
        <v>29</v>
      </c>
      <c r="C9" s="40" t="str">
        <f>CONCATENATE(C4," Golden files.xlsx")</f>
        <v>F10N Golden files.xlsx</v>
      </c>
      <c r="D9" s="3"/>
      <c r="E9" s="27" t="s">
        <v>9</v>
      </c>
      <c r="F9" s="30">
        <v>84</v>
      </c>
      <c r="G9" s="28" t="s">
        <v>0</v>
      </c>
      <c r="H9" s="10">
        <v>21</v>
      </c>
      <c r="I9" s="11">
        <v>20</v>
      </c>
      <c r="J9" s="11">
        <v>22</v>
      </c>
      <c r="K9" s="11">
        <v>21</v>
      </c>
      <c r="L9" s="11">
        <v>21</v>
      </c>
      <c r="M9" s="11">
        <v>21</v>
      </c>
      <c r="N9" s="11">
        <v>21</v>
      </c>
      <c r="O9" s="11">
        <v>20</v>
      </c>
      <c r="P9" s="11">
        <v>20</v>
      </c>
      <c r="Q9" s="11">
        <v>21</v>
      </c>
      <c r="R9" s="11">
        <v>18</v>
      </c>
      <c r="S9" s="11">
        <v>18</v>
      </c>
      <c r="T9" s="11">
        <v>19</v>
      </c>
      <c r="U9" s="11">
        <v>19</v>
      </c>
      <c r="V9" s="11">
        <v>18</v>
      </c>
      <c r="W9" s="11">
        <v>18</v>
      </c>
      <c r="X9" s="11">
        <v>19</v>
      </c>
      <c r="Y9" s="11">
        <v>18</v>
      </c>
      <c r="Z9" s="11">
        <v>19</v>
      </c>
      <c r="AA9" s="11">
        <v>20</v>
      </c>
      <c r="AB9" s="11">
        <v>20</v>
      </c>
      <c r="AC9" s="11">
        <v>20</v>
      </c>
      <c r="AD9" s="11">
        <v>19</v>
      </c>
      <c r="AE9" s="11">
        <v>19</v>
      </c>
      <c r="AF9" s="11">
        <v>20</v>
      </c>
      <c r="AG9" s="11">
        <v>20</v>
      </c>
      <c r="AH9" s="11">
        <v>20</v>
      </c>
      <c r="AI9" s="11">
        <v>21</v>
      </c>
      <c r="AJ9" s="11">
        <v>21</v>
      </c>
      <c r="AK9" s="11">
        <v>20</v>
      </c>
      <c r="AL9" s="11">
        <v>22</v>
      </c>
      <c r="AM9" s="11">
        <v>21</v>
      </c>
      <c r="AN9" s="11">
        <v>22</v>
      </c>
      <c r="AO9" s="11">
        <v>21</v>
      </c>
      <c r="AP9" s="11">
        <v>22</v>
      </c>
      <c r="AQ9" s="11">
        <v>21</v>
      </c>
      <c r="AR9" s="11">
        <v>22</v>
      </c>
      <c r="AS9" s="11">
        <v>21</v>
      </c>
      <c r="AT9" s="11">
        <v>22</v>
      </c>
      <c r="AU9" s="11">
        <v>23</v>
      </c>
      <c r="AV9" s="11">
        <v>22</v>
      </c>
      <c r="AW9" s="11">
        <v>22</v>
      </c>
      <c r="AX9" s="11">
        <v>24</v>
      </c>
      <c r="AY9" s="11">
        <v>23</v>
      </c>
      <c r="AZ9" s="11">
        <v>22</v>
      </c>
      <c r="BA9" s="11">
        <v>23</v>
      </c>
      <c r="BB9" s="11">
        <v>23</v>
      </c>
      <c r="BC9" s="11">
        <v>23</v>
      </c>
      <c r="BD9" s="11">
        <v>23</v>
      </c>
      <c r="BE9" s="11">
        <v>24</v>
      </c>
      <c r="BF9" s="11">
        <v>24</v>
      </c>
      <c r="BG9" s="11">
        <v>24</v>
      </c>
      <c r="BH9" s="12">
        <v>25</v>
      </c>
    </row>
    <row r="10" spans="1:60" ht="15.75" customHeight="1" thickBot="1" x14ac:dyDescent="0.3">
      <c r="A10" s="86"/>
      <c r="B10" s="50" t="s">
        <v>30</v>
      </c>
      <c r="C10" s="41" t="s">
        <v>0</v>
      </c>
      <c r="D10" s="3"/>
      <c r="E10" s="31" t="s">
        <v>27</v>
      </c>
      <c r="F10" s="32" t="s">
        <v>18</v>
      </c>
      <c r="G10" s="29" t="s">
        <v>1</v>
      </c>
      <c r="H10" s="9">
        <f>SUMIFS('[1]WTD USED'!$I:$I,'[1]WTD USED'!$C:$C,"160-01047")</f>
        <v>-18</v>
      </c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8"/>
    </row>
    <row r="11" spans="1:60" x14ac:dyDescent="0.25">
      <c r="A11" s="86"/>
      <c r="B11" s="50" t="s">
        <v>31</v>
      </c>
      <c r="C11" s="41" t="s">
        <v>37</v>
      </c>
      <c r="E11" s="60" t="s">
        <v>45</v>
      </c>
      <c r="F11" s="62" t="s">
        <v>46</v>
      </c>
      <c r="G11" s="64" t="s">
        <v>51</v>
      </c>
      <c r="H11" s="58">
        <v>23</v>
      </c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7"/>
      <c r="AZ11" s="57"/>
      <c r="BA11" s="57"/>
      <c r="BB11" s="57"/>
      <c r="BC11" s="57"/>
      <c r="BD11" s="57"/>
      <c r="BE11" s="57"/>
      <c r="BF11" s="57"/>
      <c r="BG11" s="57"/>
      <c r="BH11" s="13"/>
    </row>
    <row r="12" spans="1:60" x14ac:dyDescent="0.25">
      <c r="A12" s="86"/>
      <c r="B12" s="50" t="s">
        <v>32</v>
      </c>
      <c r="C12" s="41" t="s">
        <v>24</v>
      </c>
      <c r="D12" s="4"/>
      <c r="E12" s="61" t="s">
        <v>23</v>
      </c>
      <c r="F12" s="66">
        <v>42942</v>
      </c>
      <c r="G12" s="65" t="s">
        <v>52</v>
      </c>
      <c r="H12" s="59">
        <v>25</v>
      </c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  <c r="BD12" s="56"/>
      <c r="BE12" s="56"/>
      <c r="BF12" s="56"/>
      <c r="BG12" s="56"/>
      <c r="BH12" s="33"/>
    </row>
    <row r="13" spans="1:60" x14ac:dyDescent="0.25">
      <c r="A13" s="86"/>
      <c r="B13" s="50" t="s">
        <v>33</v>
      </c>
      <c r="C13" s="41" t="s">
        <v>38</v>
      </c>
      <c r="E13" s="61" t="s">
        <v>49</v>
      </c>
      <c r="F13" s="66">
        <v>43015</v>
      </c>
      <c r="G13" s="65" t="s">
        <v>24</v>
      </c>
      <c r="H13" s="59">
        <v>25</v>
      </c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  <c r="BD13" s="56"/>
      <c r="BE13" s="56"/>
      <c r="BF13" s="56"/>
      <c r="BG13" s="56"/>
      <c r="BH13" s="33"/>
    </row>
    <row r="14" spans="1:60" ht="15.75" thickBot="1" x14ac:dyDescent="0.3">
      <c r="A14" s="87"/>
      <c r="B14" s="51" t="s">
        <v>34</v>
      </c>
      <c r="C14" s="42" t="s">
        <v>39</v>
      </c>
      <c r="E14" s="67" t="s">
        <v>50</v>
      </c>
      <c r="F14" s="68" t="s">
        <v>18</v>
      </c>
      <c r="G14" s="69" t="s">
        <v>53</v>
      </c>
      <c r="H14" s="55">
        <v>26</v>
      </c>
      <c r="I14" s="7">
        <v>6</v>
      </c>
      <c r="J14" s="7">
        <v>-16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8"/>
    </row>
    <row r="15" spans="1:60" x14ac:dyDescent="0.25">
      <c r="A15" s="85" t="s">
        <v>41</v>
      </c>
      <c r="B15" s="49" t="s">
        <v>35</v>
      </c>
      <c r="C15" s="40" t="str">
        <f>CONCATENATE(C4,"_Vendor_data.xls")</f>
        <v>F10N_Vendor_data.xls</v>
      </c>
      <c r="E15" s="60" t="s">
        <v>45</v>
      </c>
      <c r="F15" s="70" t="s">
        <v>47</v>
      </c>
      <c r="G15" s="64" t="s">
        <v>51</v>
      </c>
      <c r="H15" s="58">
        <v>0</v>
      </c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  <c r="BG15" s="57"/>
      <c r="BH15" s="13"/>
    </row>
    <row r="16" spans="1:60" ht="15.75" thickBot="1" x14ac:dyDescent="0.3">
      <c r="A16" s="87"/>
      <c r="B16" s="51" t="s">
        <v>36</v>
      </c>
      <c r="C16" s="43" t="s">
        <v>44</v>
      </c>
      <c r="E16" s="61" t="s">
        <v>23</v>
      </c>
      <c r="F16" s="66">
        <v>42942</v>
      </c>
      <c r="G16" s="65" t="s">
        <v>52</v>
      </c>
      <c r="H16" s="59">
        <v>290</v>
      </c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  <c r="BD16" s="56"/>
      <c r="BE16" s="56"/>
      <c r="BF16" s="56"/>
      <c r="BG16" s="56"/>
      <c r="BH16" s="33"/>
    </row>
    <row r="17" spans="1:60" x14ac:dyDescent="0.25">
      <c r="A17" s="85" t="s">
        <v>42</v>
      </c>
      <c r="B17" s="52" t="s">
        <v>10</v>
      </c>
      <c r="C17" s="35" t="str">
        <f>CONCATENATE(C2,C3)</f>
        <v>201731</v>
      </c>
      <c r="E17" s="61" t="s">
        <v>49</v>
      </c>
      <c r="F17" s="66">
        <v>43129</v>
      </c>
      <c r="G17" s="65" t="s">
        <v>24</v>
      </c>
      <c r="H17" s="59">
        <v>0</v>
      </c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  <c r="BD17" s="56"/>
      <c r="BE17" s="56"/>
      <c r="BF17" s="56"/>
      <c r="BG17" s="56"/>
      <c r="BH17" s="33"/>
    </row>
    <row r="18" spans="1:60" ht="15.75" thickBot="1" x14ac:dyDescent="0.3">
      <c r="A18" s="86"/>
      <c r="B18" s="53" t="s">
        <v>20</v>
      </c>
      <c r="C18" s="36">
        <v>3</v>
      </c>
      <c r="E18" s="67" t="s">
        <v>50</v>
      </c>
      <c r="F18" s="68" t="s">
        <v>18</v>
      </c>
      <c r="G18" s="69" t="s">
        <v>53</v>
      </c>
      <c r="H18" s="55">
        <v>290</v>
      </c>
      <c r="I18" s="7">
        <v>290</v>
      </c>
      <c r="J18" s="7">
        <v>274</v>
      </c>
      <c r="K18" s="7">
        <v>253</v>
      </c>
      <c r="L18" s="7">
        <v>232</v>
      </c>
      <c r="M18" s="7">
        <v>211</v>
      </c>
      <c r="N18" s="7">
        <v>190</v>
      </c>
      <c r="O18" s="7">
        <v>170</v>
      </c>
      <c r="P18" s="7">
        <v>150</v>
      </c>
      <c r="Q18" s="7">
        <v>129</v>
      </c>
      <c r="R18" s="7">
        <v>111</v>
      </c>
      <c r="S18" s="7">
        <v>93</v>
      </c>
      <c r="T18" s="7">
        <v>74</v>
      </c>
      <c r="U18" s="7">
        <v>55</v>
      </c>
      <c r="V18" s="7">
        <v>37</v>
      </c>
      <c r="W18" s="7">
        <v>19</v>
      </c>
      <c r="X18" s="7">
        <v>0</v>
      </c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8"/>
    </row>
    <row r="19" spans="1:60" x14ac:dyDescent="0.25">
      <c r="A19" s="86"/>
      <c r="B19" s="53" t="s">
        <v>21</v>
      </c>
      <c r="C19" s="41">
        <f>COUNTIFS([2]Sheet1!$D$1:$D$65536,"160-01047",[2]Sheet1!$F$1:$F$65536,"New Shipment")</f>
        <v>2</v>
      </c>
      <c r="E19" s="60" t="s">
        <v>45</v>
      </c>
      <c r="F19" s="70" t="s">
        <v>48</v>
      </c>
      <c r="G19" s="64" t="s">
        <v>51</v>
      </c>
      <c r="H19" s="58">
        <v>4</v>
      </c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  <c r="BG19" s="57"/>
      <c r="BH19" s="13"/>
    </row>
    <row r="20" spans="1:60" x14ac:dyDescent="0.25">
      <c r="A20" s="86"/>
      <c r="B20" s="53" t="s">
        <v>22</v>
      </c>
      <c r="C20" s="44">
        <v>1</v>
      </c>
      <c r="E20" s="61" t="s">
        <v>23</v>
      </c>
      <c r="F20" s="66">
        <v>42942</v>
      </c>
      <c r="G20" s="65" t="s">
        <v>52</v>
      </c>
      <c r="H20" s="59">
        <v>0</v>
      </c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  <c r="BD20" s="56"/>
      <c r="BE20" s="56"/>
      <c r="BF20" s="56"/>
      <c r="BG20" s="56"/>
      <c r="BH20" s="33"/>
    </row>
    <row r="21" spans="1:60" ht="15.75" thickBot="1" x14ac:dyDescent="0.3">
      <c r="A21" s="87"/>
      <c r="B21" s="54" t="s">
        <v>16</v>
      </c>
      <c r="C21" s="45">
        <v>1.0950000000000002</v>
      </c>
      <c r="E21" s="61" t="s">
        <v>49</v>
      </c>
      <c r="F21" s="66">
        <v>43129</v>
      </c>
      <c r="G21" s="65" t="s">
        <v>24</v>
      </c>
      <c r="H21" s="59">
        <v>3</v>
      </c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  <c r="BD21" s="56"/>
      <c r="BE21" s="56"/>
      <c r="BF21" s="56"/>
      <c r="BG21" s="56"/>
      <c r="BH21" s="33"/>
    </row>
    <row r="22" spans="1:60" ht="15.75" thickBot="1" x14ac:dyDescent="0.3">
      <c r="E22" s="67" t="s">
        <v>50</v>
      </c>
      <c r="F22" s="68" t="s">
        <v>18</v>
      </c>
      <c r="G22" s="69" t="s">
        <v>53</v>
      </c>
      <c r="H22" s="55">
        <v>1</v>
      </c>
      <c r="I22" s="7">
        <v>1</v>
      </c>
      <c r="J22" s="7">
        <v>1</v>
      </c>
      <c r="K22" s="7">
        <v>1</v>
      </c>
      <c r="L22" s="7">
        <v>1</v>
      </c>
      <c r="M22" s="7">
        <v>1</v>
      </c>
      <c r="N22" s="7">
        <v>1</v>
      </c>
      <c r="O22" s="7">
        <v>1</v>
      </c>
      <c r="P22" s="7">
        <v>1</v>
      </c>
      <c r="Q22" s="7">
        <v>1</v>
      </c>
      <c r="R22" s="7">
        <v>1</v>
      </c>
      <c r="S22" s="7">
        <v>1</v>
      </c>
      <c r="T22" s="7">
        <v>1</v>
      </c>
      <c r="U22" s="7">
        <v>1</v>
      </c>
      <c r="V22" s="7">
        <v>1</v>
      </c>
      <c r="W22" s="7">
        <v>1</v>
      </c>
      <c r="X22" s="7">
        <v>-18</v>
      </c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8"/>
    </row>
    <row r="23" spans="1:60" ht="15.75" thickBot="1" x14ac:dyDescent="0.3">
      <c r="E23" s="71">
        <v>42933</v>
      </c>
      <c r="F23" s="75">
        <v>42958</v>
      </c>
      <c r="G23" s="64" t="s">
        <v>54</v>
      </c>
      <c r="H23" s="58"/>
      <c r="I23" s="57"/>
      <c r="J23" s="57">
        <v>2</v>
      </c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  <c r="BG23" s="57"/>
      <c r="BH23" s="13"/>
    </row>
    <row r="24" spans="1:60" ht="15.75" thickBot="1" x14ac:dyDescent="0.3">
      <c r="B24" s="80" t="s">
        <v>17</v>
      </c>
      <c r="C24" s="81"/>
      <c r="E24" s="72">
        <v>42933</v>
      </c>
      <c r="F24" s="66">
        <v>43000</v>
      </c>
      <c r="G24" s="65" t="s">
        <v>55</v>
      </c>
      <c r="H24" s="59"/>
      <c r="I24" s="56"/>
      <c r="J24" s="56"/>
      <c r="K24" s="56"/>
      <c r="L24" s="56"/>
      <c r="M24" s="56"/>
      <c r="N24" s="56"/>
      <c r="O24" s="56"/>
      <c r="P24" s="56">
        <v>232</v>
      </c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  <c r="BD24" s="56"/>
      <c r="BE24" s="56"/>
      <c r="BF24" s="56"/>
      <c r="BG24" s="56"/>
      <c r="BH24" s="33"/>
    </row>
    <row r="25" spans="1:60" x14ac:dyDescent="0.25">
      <c r="B25" s="24" t="s">
        <v>18</v>
      </c>
      <c r="C25" s="13" t="s">
        <v>18</v>
      </c>
      <c r="E25" s="73" t="s">
        <v>56</v>
      </c>
      <c r="F25" s="66">
        <v>43191</v>
      </c>
      <c r="G25" s="65"/>
      <c r="H25" s="59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  <c r="BD25" s="56"/>
      <c r="BE25" s="56"/>
      <c r="BF25" s="56"/>
      <c r="BG25" s="56"/>
      <c r="BH25" s="33"/>
    </row>
    <row r="26" spans="1:60" ht="15.75" thickBot="1" x14ac:dyDescent="0.3">
      <c r="B26" s="25" t="s">
        <v>19</v>
      </c>
      <c r="C26" s="2" t="s">
        <v>19</v>
      </c>
      <c r="E26" s="74" t="s">
        <v>50</v>
      </c>
      <c r="F26" s="63" t="s">
        <v>18</v>
      </c>
      <c r="G26" s="69" t="s">
        <v>53</v>
      </c>
      <c r="H26" s="55">
        <v>0</v>
      </c>
      <c r="I26" s="7">
        <v>0</v>
      </c>
      <c r="J26" s="7">
        <v>2</v>
      </c>
      <c r="K26" s="7">
        <v>2</v>
      </c>
      <c r="L26" s="7">
        <v>2</v>
      </c>
      <c r="M26" s="7">
        <v>2</v>
      </c>
      <c r="N26" s="7">
        <v>2</v>
      </c>
      <c r="O26" s="7">
        <v>2</v>
      </c>
      <c r="P26" s="7">
        <v>234</v>
      </c>
      <c r="Q26" s="7">
        <v>234</v>
      </c>
      <c r="R26" s="7">
        <v>234</v>
      </c>
      <c r="S26" s="7">
        <v>234</v>
      </c>
      <c r="T26" s="7">
        <v>234</v>
      </c>
      <c r="U26" s="7">
        <v>234</v>
      </c>
      <c r="V26" s="7">
        <v>234</v>
      </c>
      <c r="W26" s="7">
        <v>234</v>
      </c>
      <c r="X26" s="7">
        <v>216</v>
      </c>
      <c r="Y26" s="7">
        <v>198</v>
      </c>
      <c r="Z26" s="7">
        <v>179</v>
      </c>
      <c r="AA26" s="7">
        <v>159</v>
      </c>
      <c r="AB26" s="7">
        <v>139</v>
      </c>
      <c r="AC26" s="7">
        <v>119</v>
      </c>
      <c r="AD26" s="7">
        <v>100</v>
      </c>
      <c r="AE26" s="7">
        <v>81</v>
      </c>
      <c r="AF26" s="7">
        <v>61</v>
      </c>
      <c r="AG26" s="7">
        <v>41</v>
      </c>
      <c r="AH26" s="7">
        <v>21</v>
      </c>
      <c r="AI26" s="7">
        <v>0</v>
      </c>
      <c r="AJ26" s="7">
        <v>-21</v>
      </c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8"/>
    </row>
    <row r="27" spans="1:60" ht="15.75" thickBot="1" x14ac:dyDescent="0.3">
      <c r="E27" s="79">
        <v>0</v>
      </c>
      <c r="G27" s="78" t="s">
        <v>57</v>
      </c>
      <c r="H27" s="77">
        <v>317</v>
      </c>
      <c r="I27" s="76">
        <v>297</v>
      </c>
      <c r="J27" s="76">
        <v>261</v>
      </c>
      <c r="K27" s="76">
        <v>256</v>
      </c>
      <c r="L27" s="76">
        <v>235</v>
      </c>
      <c r="M27" s="76">
        <v>214</v>
      </c>
      <c r="N27" s="76">
        <v>193</v>
      </c>
      <c r="O27" s="76">
        <v>173</v>
      </c>
      <c r="P27" s="76">
        <v>385</v>
      </c>
      <c r="Q27" s="76">
        <v>364</v>
      </c>
      <c r="R27" s="76">
        <v>346</v>
      </c>
      <c r="S27" s="76">
        <v>328</v>
      </c>
      <c r="T27" s="76">
        <v>309</v>
      </c>
      <c r="U27" s="76">
        <v>290</v>
      </c>
      <c r="V27" s="76">
        <v>272</v>
      </c>
      <c r="W27" s="76">
        <v>254</v>
      </c>
      <c r="X27" s="76">
        <v>198</v>
      </c>
      <c r="Y27" s="76">
        <v>198</v>
      </c>
      <c r="Z27" s="76">
        <v>179</v>
      </c>
      <c r="AA27" s="76">
        <v>159</v>
      </c>
      <c r="AB27" s="76">
        <v>139</v>
      </c>
      <c r="AC27" s="76">
        <v>119</v>
      </c>
      <c r="AD27" s="76">
        <v>100</v>
      </c>
      <c r="AE27" s="76">
        <v>81</v>
      </c>
      <c r="AF27" s="76">
        <v>61</v>
      </c>
      <c r="AG27" s="76">
        <v>41</v>
      </c>
      <c r="AH27" s="76">
        <v>21</v>
      </c>
      <c r="AI27" s="76">
        <v>0</v>
      </c>
      <c r="AJ27" s="76">
        <v>-21</v>
      </c>
      <c r="AK27" s="76">
        <v>0</v>
      </c>
      <c r="AL27" s="76">
        <v>0</v>
      </c>
      <c r="AM27" s="76">
        <v>0</v>
      </c>
      <c r="AN27" s="76">
        <v>0</v>
      </c>
      <c r="AO27" s="76">
        <v>0</v>
      </c>
      <c r="AP27" s="76">
        <v>0</v>
      </c>
      <c r="AQ27" s="76">
        <v>0</v>
      </c>
      <c r="AR27" s="76">
        <v>0</v>
      </c>
      <c r="AS27" s="76">
        <v>0</v>
      </c>
      <c r="AT27" s="76">
        <v>0</v>
      </c>
      <c r="AU27" s="76">
        <v>0</v>
      </c>
      <c r="AV27" s="76">
        <v>0</v>
      </c>
      <c r="AW27" s="76">
        <v>0</v>
      </c>
      <c r="AX27" s="76">
        <v>0</v>
      </c>
      <c r="AY27" s="76">
        <v>0</v>
      </c>
      <c r="AZ27" s="76">
        <v>0</v>
      </c>
      <c r="BA27" s="76">
        <v>0</v>
      </c>
      <c r="BB27" s="76">
        <v>0</v>
      </c>
      <c r="BC27" s="76">
        <v>0</v>
      </c>
      <c r="BD27" s="76">
        <v>0</v>
      </c>
      <c r="BE27" s="76">
        <v>0</v>
      </c>
      <c r="BF27" s="76">
        <v>0</v>
      </c>
      <c r="BG27" s="76">
        <v>0</v>
      </c>
      <c r="BH27" s="34">
        <v>0</v>
      </c>
    </row>
    <row r="28" spans="1:60" ht="15.75" thickBot="1" x14ac:dyDescent="0.3">
      <c r="B28" s="80" t="s">
        <v>28</v>
      </c>
      <c r="C28" s="81"/>
    </row>
    <row r="29" spans="1:60" x14ac:dyDescent="0.25">
      <c r="B29" s="22"/>
      <c r="C29" s="23" t="s">
        <v>25</v>
      </c>
    </row>
    <row r="30" spans="1:60" ht="15.75" thickBot="1" x14ac:dyDescent="0.3">
      <c r="B30" s="20"/>
      <c r="C30" s="21" t="s">
        <v>26</v>
      </c>
    </row>
  </sheetData>
  <mergeCells count="6">
    <mergeCell ref="B28:C28"/>
    <mergeCell ref="B24:C24"/>
    <mergeCell ref="A2:A8"/>
    <mergeCell ref="A9:A14"/>
    <mergeCell ref="A15:A16"/>
    <mergeCell ref="A17:A21"/>
  </mergeCells>
  <conditionalFormatting sqref="B25">
    <cfRule type="cellIs" dxfId="19" priority="3043" operator="equal">
      <formula>"Good"</formula>
    </cfRule>
    <cfRule type="cellIs" dxfId="18" priority="3044" operator="equal">
      <formula>"Violated"</formula>
    </cfRule>
  </conditionalFormatting>
  <conditionalFormatting sqref="B26">
    <cfRule type="cellIs" dxfId="17" priority="1752" operator="equal">
      <formula>"Good"</formula>
    </cfRule>
    <cfRule type="cellIs" dxfId="16" priority="1753" operator="equal">
      <formula>"Violated"</formula>
    </cfRule>
  </conditionalFormatting>
  <conditionalFormatting sqref="F10">
    <cfRule type="cellIs" dxfId="15" priority="1222" operator="equal">
      <formula>"Good"</formula>
    </cfRule>
    <cfRule type="cellIs" dxfId="14" priority="1223" operator="equal">
      <formula>"Violated"</formula>
    </cfRule>
  </conditionalFormatting>
  <conditionalFormatting sqref="E14 E18 E22 E26:E27">
    <cfRule type="cellIs" dxfId="13" priority="45" operator="lessThanOrEqual">
      <formula>0</formula>
    </cfRule>
  </conditionalFormatting>
  <conditionalFormatting sqref="F14">
    <cfRule type="cellIs" dxfId="12" priority="12" operator="equal">
      <formula>"Good"</formula>
    </cfRule>
    <cfRule type="cellIs" dxfId="11" priority="13" operator="equal">
      <formula>"Violated"</formula>
    </cfRule>
  </conditionalFormatting>
  <conditionalFormatting sqref="F18">
    <cfRule type="cellIs" dxfId="10" priority="10" operator="equal">
      <formula>"Good"</formula>
    </cfRule>
    <cfRule type="cellIs" dxfId="9" priority="11" operator="equal">
      <formula>"Violated"</formula>
    </cfRule>
  </conditionalFormatting>
  <conditionalFormatting sqref="F22">
    <cfRule type="cellIs" dxfId="8" priority="8" operator="equal">
      <formula>"Good"</formula>
    </cfRule>
    <cfRule type="cellIs" dxfId="7" priority="9" operator="equal">
      <formula>"Violated"</formula>
    </cfRule>
  </conditionalFormatting>
  <conditionalFormatting sqref="F26">
    <cfRule type="cellIs" dxfId="6" priority="6" operator="equal">
      <formula>"Good"</formula>
    </cfRule>
    <cfRule type="cellIs" dxfId="5" priority="7" operator="equal">
      <formula>"Violated"</formula>
    </cfRule>
  </conditionalFormatting>
  <conditionalFormatting sqref="H14:BH14">
    <cfRule type="cellIs" dxfId="4" priority="5" operator="lessThanOrEqual">
      <formula>0</formula>
    </cfRule>
  </conditionalFormatting>
  <conditionalFormatting sqref="H18:BH18">
    <cfRule type="cellIs" dxfId="3" priority="4" operator="lessThanOrEqual">
      <formula>0</formula>
    </cfRule>
  </conditionalFormatting>
  <conditionalFormatting sqref="H22:BH22">
    <cfRule type="cellIs" dxfId="2" priority="3" operator="lessThanOrEqual">
      <formula>0</formula>
    </cfRule>
  </conditionalFormatting>
  <conditionalFormatting sqref="H26:BH26">
    <cfRule type="cellIs" dxfId="1" priority="2" operator="lessThanOrEqual">
      <formula>0</formula>
    </cfRule>
  </conditionalFormatting>
  <conditionalFormatting sqref="H27:BH27">
    <cfRule type="cellIs" dxfId="0" priority="1" operator="lessThanOrEqual">
      <formula>0</formula>
    </cfRule>
  </conditionalFormatting>
  <dataValidations count="5">
    <dataValidation type="list" allowBlank="1" showInputMessage="1" showErrorMessage="1" sqref="C2:D2">
      <formula1>$H$1:$S$1</formula1>
    </dataValidation>
    <dataValidation type="list" allowBlank="1" showInputMessage="1" showErrorMessage="1" sqref="D3">
      <formula1>$H$2:$S$2</formula1>
    </dataValidation>
    <dataValidation type="list" allowBlank="1" showInputMessage="1" showErrorMessage="1" sqref="D4 C3">
      <formula1>$H$3:$BG$3</formula1>
    </dataValidation>
    <dataValidation type="list" allowBlank="1" showInputMessage="1" showErrorMessage="1" sqref="D5 C4">
      <formula1>$F$1:$G$1</formula1>
    </dataValidation>
    <dataValidation type="list" allowBlank="1" showInputMessage="1" showErrorMessage="1" sqref="D7 C6">
      <formula1>$F$2:$G$2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Young Bin Yu (yuyoungbin)</dc:creator>
  <cp:lastModifiedBy>Young Bin Yu (yuyoungbin)</cp:lastModifiedBy>
  <dcterms:created xsi:type="dcterms:W3CDTF">2017-07-26T08:05:33Z</dcterms:created>
  <dcterms:modified xsi:type="dcterms:W3CDTF">2017-08-08T09:11:22Z</dcterms:modified>
</cp:coreProperties>
</file>